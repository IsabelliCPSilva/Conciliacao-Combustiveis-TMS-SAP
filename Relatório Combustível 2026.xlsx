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abelli\Downloads\"/>
    </mc:Choice>
  </mc:AlternateContent>
  <xr:revisionPtr revIDLastSave="0" documentId="13_ncr:1_{6BB44975-840C-45FC-8D4C-D16CE9BF32D1}" xr6:coauthVersionLast="47" xr6:coauthVersionMax="47" xr10:uidLastSave="{00000000-0000-0000-0000-000000000000}"/>
  <bookViews>
    <workbookView xWindow="-120" yWindow="-120" windowWidth="29040" windowHeight="15720" tabRatio="668" activeTab="1" xr2:uid="{00000000-000D-0000-FFFF-FFFF00000000}"/>
  </bookViews>
  <sheets>
    <sheet name="Dashboard" sheetId="1" r:id="rId1"/>
    <sheet name="KPI" sheetId="2" r:id="rId2"/>
    <sheet name="Relatório Completo" sheetId="3" r:id="rId3"/>
    <sheet name="Divergências" sheetId="4" r:id="rId4"/>
    <sheet name="NOMENCLATURA DOS POSTOS" sheetId="5" r:id="rId5"/>
    <sheet name="Conciliados" sheetId="6" r:id="rId6"/>
    <sheet name="SAP Sem conciliação" sheetId="7" r:id="rId7"/>
    <sheet name="TMS Sem conciliação" sheetId="8" r:id="rId8"/>
  </sheets>
  <calcPr calcId="191029" iterateDelta="1E-4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0" i="6" l="1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F106" i="2"/>
  <c r="E106" i="2"/>
  <c r="F105" i="2"/>
  <c r="E105" i="2"/>
  <c r="F104" i="2"/>
  <c r="E104" i="2"/>
  <c r="F103" i="2"/>
  <c r="E103" i="2"/>
  <c r="F102" i="2"/>
  <c r="E102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E33" i="2"/>
  <c r="C33" i="2"/>
  <c r="B33" i="2"/>
  <c r="F33" i="2" s="1"/>
  <c r="F32" i="2"/>
  <c r="E32" i="2"/>
  <c r="D32" i="2"/>
  <c r="F31" i="2"/>
  <c r="E31" i="2"/>
  <c r="D31" i="2"/>
  <c r="F30" i="2"/>
  <c r="E30" i="2"/>
  <c r="D30" i="2"/>
  <c r="D26" i="2"/>
  <c r="C26" i="2"/>
  <c r="B26" i="2"/>
  <c r="E26" i="2" s="1"/>
  <c r="F25" i="2"/>
  <c r="E25" i="2"/>
  <c r="F24" i="2"/>
  <c r="E24" i="2"/>
  <c r="F23" i="2"/>
  <c r="E23" i="2"/>
  <c r="D33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<sst xmlns="http://schemas.openxmlformats.org/spreadsheetml/2006/main" count="5130" uniqueCount="411">
  <si>
    <t>Dashboard Combustíveís</t>
  </si>
  <si>
    <t>Mês</t>
  </si>
  <si>
    <t>Soma de Total (R$)</t>
  </si>
  <si>
    <t>Janeiro</t>
  </si>
  <si>
    <t>Rótulos de Linha</t>
  </si>
  <si>
    <t>Fevereiro</t>
  </si>
  <si>
    <t>Arla32</t>
  </si>
  <si>
    <t>Março</t>
  </si>
  <si>
    <t>Total Result</t>
  </si>
  <si>
    <t>Diesel</t>
  </si>
  <si>
    <t>Diesel S10</t>
  </si>
  <si>
    <t>Diesel S500</t>
  </si>
  <si>
    <t>Gasolina comum</t>
  </si>
  <si>
    <t>Total Geral</t>
  </si>
  <si>
    <t>Posto</t>
  </si>
  <si>
    <t>Posto Gp Brasil</t>
  </si>
  <si>
    <t>Auto Posto o Cupim S</t>
  </si>
  <si>
    <t>Postos Mahle Brasil</t>
  </si>
  <si>
    <t>Postos Pelanda</t>
  </si>
  <si>
    <t>Pelanda</t>
  </si>
  <si>
    <t>Posto Ongarato</t>
  </si>
  <si>
    <t>Auto Posto Alphavill</t>
  </si>
  <si>
    <t>Posto Br 376</t>
  </si>
  <si>
    <t>Sim Rede de Postos</t>
  </si>
  <si>
    <t>SIM REDE DE POSTOS L</t>
  </si>
  <si>
    <t xml:space="preserve">   </t>
  </si>
  <si>
    <t>Soma de Total Gasto (R$)</t>
  </si>
  <si>
    <t>Soma de Total Litros</t>
  </si>
  <si>
    <t>EVU-4312</t>
  </si>
  <si>
    <t>RHM-3I21</t>
  </si>
  <si>
    <t>ASF-3187</t>
  </si>
  <si>
    <t>BDR-2I48</t>
  </si>
  <si>
    <t>BCG-6714</t>
  </si>
  <si>
    <t>RHL-4D96</t>
  </si>
  <si>
    <t>TBN-3C78</t>
  </si>
  <si>
    <t>BBM-8139</t>
  </si>
  <si>
    <t>NZK-2A89</t>
  </si>
  <si>
    <t>RHN-6B84</t>
  </si>
  <si>
    <t>CONCILIAÇÃO DE COMBUSTÍVEIS 2026</t>
  </si>
  <si>
    <t>KPI</t>
  </si>
  <si>
    <t>Valor</t>
  </si>
  <si>
    <t>Total Abastecimentos (TMS)</t>
  </si>
  <si>
    <t>Total Lançamentos (SAP)</t>
  </si>
  <si>
    <t>Total R$ TMS</t>
  </si>
  <si>
    <t>Total R$ SAP</t>
  </si>
  <si>
    <t>Conciliados (qtd)</t>
  </si>
  <si>
    <t>Conciliados (R$)</t>
  </si>
  <si>
    <t>Divergências (qtd)</t>
  </si>
  <si>
    <t>Divergências (R$)</t>
  </si>
  <si>
    <t>SAP sem match (qtd)</t>
  </si>
  <si>
    <t>SAP sem match (R$)</t>
  </si>
  <si>
    <t>TMS sem match (qtd)</t>
  </si>
  <si>
    <t>TMS sem match (R$)</t>
  </si>
  <si>
    <t>Total Litros TMS</t>
  </si>
  <si>
    <t>Placas Ativas</t>
  </si>
  <si>
    <t>Postos Utilizados (TMS)</t>
  </si>
  <si>
    <t>GASTOS POR PERÍODO TMS</t>
  </si>
  <si>
    <t>Total (R$)</t>
  </si>
  <si>
    <t>Qtd Abast.</t>
  </si>
  <si>
    <t>Total Litros</t>
  </si>
  <si>
    <t>Ticket Médio (R$)</t>
  </si>
  <si>
    <t>% do Total</t>
  </si>
  <si>
    <t>TOTAL</t>
  </si>
  <si>
    <t>100%</t>
  </si>
  <si>
    <t>GASTOS POR PERÍODO RAZÃO</t>
  </si>
  <si>
    <t>Qtd Lançamentos</t>
  </si>
  <si>
    <t>Var. vs TMS (R$)</t>
  </si>
  <si>
    <t>RANKING DE POSTOS POR GASTO</t>
  </si>
  <si>
    <t>#</t>
  </si>
  <si>
    <t>Posto Jau</t>
  </si>
  <si>
    <t>RODOPOSTO GPN COMERC</t>
  </si>
  <si>
    <t>Posto Baleia Franca</t>
  </si>
  <si>
    <t>RANKING DE PLACAS — GASTOS E KM RODADO</t>
  </si>
  <si>
    <t>Placa</t>
  </si>
  <si>
    <t>Total Gasto (R$)</t>
  </si>
  <si>
    <t>KM Rodado</t>
  </si>
  <si>
    <t>Litros/KM</t>
  </si>
  <si>
    <t>MKZ-0D40</t>
  </si>
  <si>
    <t>AQR-4761</t>
  </si>
  <si>
    <t>HQR-9453</t>
  </si>
  <si>
    <t>ECM-7C29</t>
  </si>
  <si>
    <t>ECM-7725</t>
  </si>
  <si>
    <t>AOH-0791</t>
  </si>
  <si>
    <t>AZN-3F54</t>
  </si>
  <si>
    <t>FBC-2031</t>
  </si>
  <si>
    <t>QHC-5828</t>
  </si>
  <si>
    <t>EVU-7E71</t>
  </si>
  <si>
    <t>BBS-5873</t>
  </si>
  <si>
    <t>ECM-7253</t>
  </si>
  <si>
    <t>APJ-7371</t>
  </si>
  <si>
    <t>ECM-7247</t>
  </si>
  <si>
    <t>ANP-4J20</t>
  </si>
  <si>
    <t>ADL-0114</t>
  </si>
  <si>
    <t>FBC-2192</t>
  </si>
  <si>
    <t>ATE-0322</t>
  </si>
  <si>
    <t>TBG-1G84</t>
  </si>
  <si>
    <t>AXY-5437</t>
  </si>
  <si>
    <t>AZN-3F50</t>
  </si>
  <si>
    <t>BBE-5C91</t>
  </si>
  <si>
    <t>AZK-9C79</t>
  </si>
  <si>
    <t>AMV-1493</t>
  </si>
  <si>
    <t>ATB-3100</t>
  </si>
  <si>
    <t>TBG-1G85</t>
  </si>
  <si>
    <t>TBG-1G86</t>
  </si>
  <si>
    <t>ASC-6670</t>
  </si>
  <si>
    <t>BCN-7D30</t>
  </si>
  <si>
    <t>AOF-5193</t>
  </si>
  <si>
    <t>ASO-2273</t>
  </si>
  <si>
    <t>AHL-8I07</t>
  </si>
  <si>
    <t>BCV-4G87</t>
  </si>
  <si>
    <t>TBG-1G87</t>
  </si>
  <si>
    <t>CMA-1129</t>
  </si>
  <si>
    <t>AJO-2474</t>
  </si>
  <si>
    <t>ANÁLISE POR TIPO DE COMBUSTÍVEL</t>
  </si>
  <si>
    <t>Combustível</t>
  </si>
  <si>
    <t>Abastecimentos</t>
  </si>
  <si>
    <t>% em Valor</t>
  </si>
  <si>
    <t>Preço Médio R$/L</t>
  </si>
  <si>
    <t>RELATÓRIO COMPLETO — TMS × SAP</t>
  </si>
  <si>
    <t>Total: 528 registros  |  Conciliados: 107  |  Divergências: 13  |  Sem conciliação: 408</t>
  </si>
  <si>
    <t>Status</t>
  </si>
  <si>
    <t>Data SAP</t>
  </si>
  <si>
    <t>Data TMS</t>
  </si>
  <si>
    <t>Posto SAP</t>
  </si>
  <si>
    <t>Posto TMS</t>
  </si>
  <si>
    <t>Litros</t>
  </si>
  <si>
    <t>Valor SAP (R$)</t>
  </si>
  <si>
    <t>Valor TMS (R$)</t>
  </si>
  <si>
    <t>Diferença (R$)</t>
  </si>
  <si>
    <t>Motorista</t>
  </si>
  <si>
    <t>NDoc SAP</t>
  </si>
  <si>
    <t>NF / Observação</t>
  </si>
  <si>
    <t>SAP s/conciliação</t>
  </si>
  <si>
    <t>Postos Mahle Brasil Comercio de Combusti</t>
  </si>
  <si>
    <t>POSTOS PELANDA COMBUSTIVEIS LTDA</t>
  </si>
  <si>
    <t>LOS PAMPAS COMERCIO DE DERIVADOS DO PETROLEO LTDA</t>
  </si>
  <si>
    <t>Conciliado</t>
  </si>
  <si>
    <t>J.R.F.M COM DE COMBUSTIVEISE LUBRIF</t>
  </si>
  <si>
    <t>AUTO POSTO O CUPIM SAO JOSE LTDA</t>
  </si>
  <si>
    <t>POSTO MONTE CARLO RUBINEIA LTDA</t>
  </si>
  <si>
    <t>AUTO POSTO ALPHAVILLE LTDA</t>
  </si>
  <si>
    <t>POSTO SAO ROQUE LTDA</t>
  </si>
  <si>
    <t>Divergência</t>
  </si>
  <si>
    <t>Auto Posto Monte Carlo Onda Verde Ltda.</t>
  </si>
  <si>
    <t>SOL COMERCIO DE COMBUSTIVEIS LTDA</t>
  </si>
  <si>
    <t>POSTO PRATAO LTDA</t>
  </si>
  <si>
    <t>Posto Pelanda Tibagi</t>
  </si>
  <si>
    <t>POSTO ONGARATO LTDA</t>
  </si>
  <si>
    <t>AUTO POSTO CHAVES LTDA</t>
  </si>
  <si>
    <t>Mazoti &amp; Mazoti Ltda</t>
  </si>
  <si>
    <t>Centro Comercial Campestre e Servicos Lt</t>
  </si>
  <si>
    <t>DECIO COMERCIO E SERVICOS RODOVIARIOS LTDA</t>
  </si>
  <si>
    <t>Ws Nini Auto Posto Ltda</t>
  </si>
  <si>
    <t>Rodoposto Bandeirantes Sul Ltda</t>
  </si>
  <si>
    <t>POSTO MONTE CARLO BALSAMO LTDA</t>
  </si>
  <si>
    <t>POSTO BR 376 LTDA</t>
  </si>
  <si>
    <t>POSTO JAU LTDA</t>
  </si>
  <si>
    <t>Posto Radar Com de Derivados de Petroleo</t>
  </si>
  <si>
    <t>SIM REDE DE POSTOS LTDA</t>
  </si>
  <si>
    <t>AUTO POSTO BALEIA FRANCA LTDA.</t>
  </si>
  <si>
    <t>RODOPOSTO GPN COMERCIO DE COMBUSTIVEIS LTDA</t>
  </si>
  <si>
    <t>Auto Posto Zandonadi Ltda</t>
  </si>
  <si>
    <t>AUTO POSTO RODOTRUCK DE PRESIDENTE PRUDENTE LTDA</t>
  </si>
  <si>
    <t>NONEMACHER POSTOS DE COMBUSTIVEIS LTDA</t>
  </si>
  <si>
    <t>AUTO POSTO RESIDENCIA FUCK LTDA</t>
  </si>
  <si>
    <t>TRANSPORTADORA AGAL LTDA</t>
  </si>
  <si>
    <t>JMF - COMERCIO DE COMBUSTIVEIS LTDA</t>
  </si>
  <si>
    <t>NACIOPETRO DISTRIBUIDORA DE PETROLEO LTDA</t>
  </si>
  <si>
    <t>JP DERIVADOS DE PETROLEO LTDA</t>
  </si>
  <si>
    <t>TMS s/conciliação</t>
  </si>
  <si>
    <t>DIVERGÊNCIAS</t>
  </si>
  <si>
    <t>LANÇAMENTOS SUSPEITOS / POSSÍVEIS DUPLICATAS</t>
  </si>
  <si>
    <t>6 alertas identificados</t>
  </si>
  <si>
    <t>Lançamento</t>
  </si>
  <si>
    <t>Data/Hora</t>
  </si>
  <si>
    <t>Valor (R$)</t>
  </si>
  <si>
    <t>Motivo do Alerta</t>
  </si>
  <si>
    <t>3+ abastec./dia mesma placa</t>
  </si>
  <si>
    <t>POSTOS RAZÃO</t>
  </si>
  <si>
    <t>POSTOS TMS</t>
  </si>
  <si>
    <t>A E RODRIGUES GOMES LTDA</t>
  </si>
  <si>
    <t>Posto Piloto</t>
  </si>
  <si>
    <t>ANA MARIA DE MORAES ERMIDA</t>
  </si>
  <si>
    <t>ARLINDO DA FONSECA LINS &amp; CIA LTDA</t>
  </si>
  <si>
    <t>Pichilau</t>
  </si>
  <si>
    <t>AUTO POSTO 5 RODA LTDA</t>
  </si>
  <si>
    <t xml:space="preserve">Auto Posto 5 Roda   </t>
  </si>
  <si>
    <t xml:space="preserve">Posto Baleia Franca </t>
  </si>
  <si>
    <t>AUTO POSTO BRAMBILA LTDA</t>
  </si>
  <si>
    <t xml:space="preserve">Auto Posto Brambila </t>
  </si>
  <si>
    <t>AUTO POSTO BUFALO DO VALE LTDA</t>
  </si>
  <si>
    <t>AUTO POSTO BUFALO DO</t>
  </si>
  <si>
    <t>AUTO POSTO CARLITO'S LTDA</t>
  </si>
  <si>
    <t>Auto Posto Carlito's</t>
  </si>
  <si>
    <t>AUTO POSTO CARVALHO E BORGES LTDA</t>
  </si>
  <si>
    <t xml:space="preserve">Auto Posto Carvalho </t>
  </si>
  <si>
    <t>AUTO POSTO DDD 242 LTDA</t>
  </si>
  <si>
    <t>AUTO POSTO DDD 242 L</t>
  </si>
  <si>
    <t>AUTO POSTO DIVISAO BR 153 LTDA</t>
  </si>
  <si>
    <t>Auto Posto Divisao B</t>
  </si>
  <si>
    <t>AUTO POSTO DRACENA LTDA</t>
  </si>
  <si>
    <t xml:space="preserve">Rodo Rede Dracena   </t>
  </si>
  <si>
    <t>AUTO POSTO FORMOSA LTDA</t>
  </si>
  <si>
    <t>AUTO POSTO FORMOSA L</t>
  </si>
  <si>
    <t>AUTO POSTO FREI LTDA</t>
  </si>
  <si>
    <t xml:space="preserve">Auto Posto Frei     </t>
  </si>
  <si>
    <t>Auto Posto Gigantao de Marilia Ltda</t>
  </si>
  <si>
    <t xml:space="preserve">Auto Posto Gigantao </t>
  </si>
  <si>
    <t>AUTO POSTO INDIARA LTDA</t>
  </si>
  <si>
    <t xml:space="preserve">Auto Posto Indiara  </t>
  </si>
  <si>
    <t>AUTO POSTO ISEJIMA DO BRASIL LTDA</t>
  </si>
  <si>
    <t>Auto Posto Isejima D</t>
  </si>
  <si>
    <t>AUTO POSTO KELLY BEZERRA III LTDA</t>
  </si>
  <si>
    <t>Auto Posto Kelly Bez</t>
  </si>
  <si>
    <t>Auto Posto M Frutal Ltda</t>
  </si>
  <si>
    <t xml:space="preserve">Auto Posto M Frutal </t>
  </si>
  <si>
    <t>AUTO POSTO MANCOES LTDA</t>
  </si>
  <si>
    <t>AUTO POSTO MANCOES L</t>
  </si>
  <si>
    <t>AUTO POSTO MARINER DE RIBEIRAO PRETO LTDA</t>
  </si>
  <si>
    <t>Posto Mariner de Rib</t>
  </si>
  <si>
    <t>Auto Posto Monte Car</t>
  </si>
  <si>
    <t>AUTO POSTO MOZARLANDIA LTDA EM RECUPERACAO JUDICIAL</t>
  </si>
  <si>
    <t>Posto California</t>
  </si>
  <si>
    <t>AUTO POSTO NAZARAO LTDA</t>
  </si>
  <si>
    <t>Auto Posto Nazarao L</t>
  </si>
  <si>
    <t xml:space="preserve">Postos Mahle Brasil </t>
  </si>
  <si>
    <t>AUTO POSTO OURO VERDE DE REGISTRO LTDA</t>
  </si>
  <si>
    <t>AUTO POSTO OURO VERD</t>
  </si>
  <si>
    <t>AUTO POSTO PETROPEN ANHANGUERA LTDA</t>
  </si>
  <si>
    <t xml:space="preserve">Auto Posto Petropen </t>
  </si>
  <si>
    <t>AUTO POSTO REFORCO II LTDA</t>
  </si>
  <si>
    <t>Auto Posto Reforco I</t>
  </si>
  <si>
    <t>AUTO POSTO RODOTRUCK</t>
  </si>
  <si>
    <t>AUTO POSTO SORRISAO LTDA</t>
  </si>
  <si>
    <t xml:space="preserve">Auto Posto Sorrisao </t>
  </si>
  <si>
    <t>Auto Posto Tulio Ltda. (cg)</t>
  </si>
  <si>
    <t>Auto Posto Tulio Ltda</t>
  </si>
  <si>
    <t>Auto Posto Tulio Ltd</t>
  </si>
  <si>
    <t>AUTO POSTO TX BA LTDA</t>
  </si>
  <si>
    <t>Posto Malacarne (jeq</t>
  </si>
  <si>
    <t>AUTO POSTO VALTELINO LTDA</t>
  </si>
  <si>
    <t xml:space="preserve">Auto Posto Sorocaba </t>
  </si>
  <si>
    <t>AUTO POSTO VRIO LTDA</t>
  </si>
  <si>
    <t>Auto Posto Vrio Ltda</t>
  </si>
  <si>
    <t>Auto Posto Zandonadi</t>
  </si>
  <si>
    <t>CARRETEIRO DERIVADOS DE PETROLEO LTDA</t>
  </si>
  <si>
    <t xml:space="preserve">Carreteiro 6        </t>
  </si>
  <si>
    <t>Posto Campestre</t>
  </si>
  <si>
    <t>COCAMAR POSTOS DE COMBUSTIVEIS LTDA.</t>
  </si>
  <si>
    <t xml:space="preserve">Cocamar Postos      </t>
  </si>
  <si>
    <t>COLORADO AUTO POSTO LTDA</t>
  </si>
  <si>
    <t xml:space="preserve">COLORADO AUTO POSTO </t>
  </si>
  <si>
    <t>COM.DE COMBUSTIVEIS E TRANSPORTE TRANSPANTANEIRA LTDA</t>
  </si>
  <si>
    <t>Posto Pegoraro</t>
  </si>
  <si>
    <t>COMERCIAL DE DERIVADOS DE PETROLEO SAO CARLOS LTDA</t>
  </si>
  <si>
    <t>Comercial de Derivad</t>
  </si>
  <si>
    <t>COMERCIAL J P FILHO LTDA</t>
  </si>
  <si>
    <t xml:space="preserve">COMERCIAL J P FILHO </t>
  </si>
  <si>
    <t>CPA COMERCIO DE COMBUSTIVEIS LTDA</t>
  </si>
  <si>
    <t>Posto Cpa</t>
  </si>
  <si>
    <t>Decio Comercio e Servicos Rodoviarios Lt</t>
  </si>
  <si>
    <t>25-MACEDO E SOUZA LT</t>
  </si>
  <si>
    <t>Posto Decio Rio Verd</t>
  </si>
  <si>
    <t xml:space="preserve">Decio Barreiras     </t>
  </si>
  <si>
    <t>Decio Comercio e Ser</t>
  </si>
  <si>
    <t>DELEVATTI COMERCIO DE COMBUSTIVEIS LTDA</t>
  </si>
  <si>
    <t>Auto Posto Delevatti</t>
  </si>
  <si>
    <t>Dunapetrol Comercio de Derivados de Petr</t>
  </si>
  <si>
    <t xml:space="preserve">Dunapetrol Comercio </t>
  </si>
  <si>
    <t>G10 - AUTO POSTO S.A.</t>
  </si>
  <si>
    <t xml:space="preserve">G10 Auto Posto      </t>
  </si>
  <si>
    <t>ITARUMA-DISTRIBUIDORA DE PETROLEO LTDA</t>
  </si>
  <si>
    <t xml:space="preserve">Posto Taruma        </t>
  </si>
  <si>
    <t xml:space="preserve">Posto Gp Brasil     </t>
  </si>
  <si>
    <t>KILOMETRAGEM E COMBUSTIVEL</t>
  </si>
  <si>
    <t>REEMBOLSO</t>
  </si>
  <si>
    <t>LOS PAMPAS COMERCIO DE DERIVADOS DE PETROLEO LTDA</t>
  </si>
  <si>
    <t xml:space="preserve">Posto Los Pampas    </t>
  </si>
  <si>
    <t>MACAUBENSE COMERCIO DE DERIVADOS DE PETROLEO LTDA</t>
  </si>
  <si>
    <t xml:space="preserve">MACAUBENSE COMERCIO </t>
  </si>
  <si>
    <t>MAHLE 71 JATAI COMERCIO DE COMBUSTIVEIS LTDA</t>
  </si>
  <si>
    <t xml:space="preserve">Mahle 71 Jatai      </t>
  </si>
  <si>
    <t>Mahle Carambei Comercio de Combustiveis</t>
  </si>
  <si>
    <t>Mahle Carambei Comer</t>
  </si>
  <si>
    <t>MAHLE WITMARSUM COMERCIO DE COMBUSTIVEIS LTDA</t>
  </si>
  <si>
    <t xml:space="preserve">Mahle Witmarsum     </t>
  </si>
  <si>
    <t>MARCIO DE SOUZA SILVA LTDA</t>
  </si>
  <si>
    <t>Posto Maria Joao</t>
  </si>
  <si>
    <t>Menegatti Cadeado Comercio de Combustive</t>
  </si>
  <si>
    <t xml:space="preserve">Menegatti Cadeado   </t>
  </si>
  <si>
    <t>MIRIAN MATUPA AUTO POSTO LTDA</t>
  </si>
  <si>
    <t>Mirian Matupa Auto P</t>
  </si>
  <si>
    <t>N A &amp; CIA LTDA</t>
  </si>
  <si>
    <t>Posto Caju</t>
  </si>
  <si>
    <t>PAULO ANDREIS E CIA LTDA</t>
  </si>
  <si>
    <t xml:space="preserve">Paulo Andreis e Cia </t>
  </si>
  <si>
    <t>PELANDA PARTICIPACOES LTDA</t>
  </si>
  <si>
    <t>POSTOS PELANDA MIRAC</t>
  </si>
  <si>
    <t>PETROLEO SAO LOURENCO LTDA</t>
  </si>
  <si>
    <t>PETROLEO SAO LOURENC</t>
  </si>
  <si>
    <t>PETROS TECNOLOGIA EM COMBUSTIVEIS E LUBRIFICANTES LTDA</t>
  </si>
  <si>
    <t xml:space="preserve">Petros              </t>
  </si>
  <si>
    <t>Posto 4 Irmaos Jl Ltda</t>
  </si>
  <si>
    <t>Posto 4 Irmaos Jl Lt</t>
  </si>
  <si>
    <t>Posto 44 Paranagua Comercio de Combustiv</t>
  </si>
  <si>
    <t xml:space="preserve">Posto 44 Paranagua  </t>
  </si>
  <si>
    <t>POSTO ALDO MARINGA LTDA</t>
  </si>
  <si>
    <t>Posto Aldo Primavera</t>
  </si>
  <si>
    <t>POSTO ALDO SORRISO LTDA</t>
  </si>
  <si>
    <t>POSTO ALDO JATAI LTDA</t>
  </si>
  <si>
    <t>Posto Aldo</t>
  </si>
  <si>
    <t>Posto Alvorada Ltda</t>
  </si>
  <si>
    <t xml:space="preserve">Posto Alvorada      </t>
  </si>
  <si>
    <t>POSTO CALIFORNIA DE OURINHOS LTDA</t>
  </si>
  <si>
    <t xml:space="preserve">Posto California de </t>
  </si>
  <si>
    <t>Posto Estrela da 101 Ltda</t>
  </si>
  <si>
    <t>Posto Estrela da 101</t>
  </si>
  <si>
    <t>POSTO IRMAO DA ESTRADA LTDA.</t>
  </si>
  <si>
    <t>Posto Irmao da Estra</t>
  </si>
  <si>
    <t xml:space="preserve">Posto Jau           </t>
  </si>
  <si>
    <t>POSTO JR FAISAO LTDA</t>
  </si>
  <si>
    <t>Posto Jr Faisao Ltda</t>
  </si>
  <si>
    <t>POSTO MARISTELA-CUPIM LTDA</t>
  </si>
  <si>
    <t>Posto Cupim</t>
  </si>
  <si>
    <t>Posto Monte Carlo Ba</t>
  </si>
  <si>
    <t>POSTO MONTE CARLO CUIABA LTDA</t>
  </si>
  <si>
    <t>Posto Monte Carlo Cu</t>
  </si>
  <si>
    <t>POSTO MONTE CARLO BR 376 LTDA</t>
  </si>
  <si>
    <t>Monte Carlo Rubineia</t>
  </si>
  <si>
    <t>Rede de Postos Monte</t>
  </si>
  <si>
    <t xml:space="preserve">Posto Ongarato      </t>
  </si>
  <si>
    <t>POSTO PRATAO JARAGUA LTDA</t>
  </si>
  <si>
    <t xml:space="preserve">Posto Pratao        </t>
  </si>
  <si>
    <t xml:space="preserve">Posto Radar         </t>
  </si>
  <si>
    <t>POSTO REFORCO 6 LTDA</t>
  </si>
  <si>
    <t xml:space="preserve">Posto Reforco 6     </t>
  </si>
  <si>
    <t>POSTO ROTA 101 DERIVADOS DE PETROLEO LTDA</t>
  </si>
  <si>
    <t>Posto Rota 101 Deriv</t>
  </si>
  <si>
    <t>POSTO SALOME LTDA</t>
  </si>
  <si>
    <t xml:space="preserve">Posto Salome        </t>
  </si>
  <si>
    <t>POSTO SAO ROQUE CERRADAO LTDA</t>
  </si>
  <si>
    <t>Posto Sao Roque Cerr</t>
  </si>
  <si>
    <t xml:space="preserve">Posto Sao Roque     </t>
  </si>
  <si>
    <t>POSTO SEABRA LTDA</t>
  </si>
  <si>
    <t xml:space="preserve">POSTO SEABRA LTDA   </t>
  </si>
  <si>
    <t>Posto Siga Bem</t>
  </si>
  <si>
    <t xml:space="preserve">Kith Leandro Brasil </t>
  </si>
  <si>
    <t>POSTO SOL DA DUTRA LTDA.</t>
  </si>
  <si>
    <t>POSTO SOL DA DUTRA L</t>
  </si>
  <si>
    <t>Posto Tio Zico II Ltda</t>
  </si>
  <si>
    <t>Posto Tio Zico II</t>
  </si>
  <si>
    <t>POSTO Z +Z SAO MIGUEL ARCANJO LTDA</t>
  </si>
  <si>
    <t>POSTO Z+Z SAO MIGUEL</t>
  </si>
  <si>
    <t>POSTO Z11 LTDA</t>
  </si>
  <si>
    <t>Posto Zandona11</t>
  </si>
  <si>
    <t>Postos Pelanda Jagua</t>
  </si>
  <si>
    <t>R L C COMBUSTIVEIS LTDA</t>
  </si>
  <si>
    <t>R L C COMBUSTIVEIS L</t>
  </si>
  <si>
    <t>Rabi Auto Posto Santa Adelia Ltda</t>
  </si>
  <si>
    <t>Posto Rabi Santa Ade</t>
  </si>
  <si>
    <t>REDE DE POSTOS APOLO LTDA</t>
  </si>
  <si>
    <t xml:space="preserve">Apolo Filial 14     </t>
  </si>
  <si>
    <t>REDE DE POSTOS DE COMBUSTIVEIS MARAJO URUACU LTDA</t>
  </si>
  <si>
    <t xml:space="preserve">Marajo Uruacu       </t>
  </si>
  <si>
    <t>REDE DE POSTOS MARAJO ARAPORA LTDA</t>
  </si>
  <si>
    <t>Rede de Postos Maraj</t>
  </si>
  <si>
    <t>REDE DE POSTOS MARAJO CENTRALINA LTDA</t>
  </si>
  <si>
    <t xml:space="preserve">Marajo Centralina   </t>
  </si>
  <si>
    <t>Rede de Postos Marajo Grande Goiania Ltd</t>
  </si>
  <si>
    <t>Marajo Grande Goiani</t>
  </si>
  <si>
    <t>REDE DE POSTOS MARAJO PORANGATU LTDA</t>
  </si>
  <si>
    <t xml:space="preserve">Marajo Porangatu    </t>
  </si>
  <si>
    <t>REDE DOM PEDRO DE POSTOS LTDA.</t>
  </si>
  <si>
    <t>Rede Dom Pedro de Po</t>
  </si>
  <si>
    <t>Dom Pedro Divisa Ale</t>
  </si>
  <si>
    <t>REDE HG COMBUSTIVEIS LTDA.</t>
  </si>
  <si>
    <t>REDE HG COMBUSTIVEIS</t>
  </si>
  <si>
    <t xml:space="preserve">Rede Hg             </t>
  </si>
  <si>
    <t xml:space="preserve">Posto Alagoas 101   </t>
  </si>
  <si>
    <t>Posto Norte de Minas</t>
  </si>
  <si>
    <t xml:space="preserve">Posto Moc 135       </t>
  </si>
  <si>
    <t>RICALL COMBUSTIVEIS LTDA</t>
  </si>
  <si>
    <t>RODOPOSTO BANDEIRANTES JUNDIAI LTDA</t>
  </si>
  <si>
    <t>Graal Bandeirantes J</t>
  </si>
  <si>
    <t>Graal Bandeirantes S</t>
  </si>
  <si>
    <t>SANTA EUDOXIA COMERCIO DE COMBUSTIVEIS LTDA</t>
  </si>
  <si>
    <t>Posto Puma</t>
  </si>
  <si>
    <t>SANTARE COMERCIO DE COMBUSTIVEIS LTDA</t>
  </si>
  <si>
    <t>Posto Serra Gaucha</t>
  </si>
  <si>
    <t>SEM PARAR INSTITUICAO DE PAGAMENTO LTDA</t>
  </si>
  <si>
    <t>SERVICOS AUTOMOTIVOS REGIS LTDA</t>
  </si>
  <si>
    <t>Posto Missões 28</t>
  </si>
  <si>
    <t xml:space="preserve">Rede de Postos      </t>
  </si>
  <si>
    <t>SUPER GNV COMERCIO E SERVICOS LTDA</t>
  </si>
  <si>
    <t>Super Gnv Comercio e</t>
  </si>
  <si>
    <t>Torre Alta Com.de Comb. Ltda</t>
  </si>
  <si>
    <t>Torre Alta Com.de Co</t>
  </si>
  <si>
    <t>WC AUTO POSTO LTDA</t>
  </si>
  <si>
    <t xml:space="preserve">Wc Auto Posto       </t>
  </si>
  <si>
    <t>Ws Nini Auto Posto L</t>
  </si>
  <si>
    <t>Posto Mazoti</t>
  </si>
  <si>
    <t>Auto Posto Sol</t>
  </si>
  <si>
    <t>CONCILIADOS</t>
  </si>
  <si>
    <t>SAP SEM CORRESPONDÊNCIA</t>
  </si>
  <si>
    <t>Lançamentos SAP sem abastecimento no TMS</t>
  </si>
  <si>
    <t>TMS SEM CORRESPONDÊNCIA</t>
  </si>
  <si>
    <t>Abastecimentos TMS sem nota fiscal no SAP</t>
  </si>
  <si>
    <t>NE 10***</t>
  </si>
  <si>
    <t>***-****</t>
  </si>
  <si>
    <t>***</t>
  </si>
  <si>
    <t>NF :****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</si>
</sst>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 &quot;#,##0.00"/>
    <numFmt numFmtId="165" formatCode="0.0%"/>
    <numFmt numFmtId="166" formatCode="#,##0.0"/>
    <numFmt numFmtId="167" formatCode="0.000"/>
    <numFmt numFmtId="168" formatCode="m/d/yyyy"/>
    <numFmt numFmtId="169" formatCode="#,##0.000"/>
    <numFmt numFmtId="170" formatCode="m/d/yyyy\ h:mm"/>
    <numFmt numFmtId="171" formatCode="_-&quot;R$ &quot;* #,##0.00_-;&quot;-R$ &quot;* #,##0.00_-;_-&quot;R$ &quot;* \-??_-;_-@_-"/>
  </numFmts>
  <fonts count="18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11827"/>
      <name val="Arial"/>
      <family val="2"/>
      <charset val="1"/>
    </font>
    <font>
      <sz val="10"/>
      <color rgb="FF111827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11827"/>
      <name val="Arial"/>
      <charset val="1"/>
    </font>
    <font>
      <b/>
      <sz val="14"/>
      <color rgb="FFFFFFFF"/>
      <name val="Arial"/>
      <charset val="1"/>
    </font>
    <font>
      <b/>
      <sz val="10"/>
      <color rgb="FF4B5563"/>
      <name val="Arial"/>
      <family val="2"/>
      <charset val="1"/>
    </font>
    <font>
      <sz val="10"/>
      <color rgb="FF4B556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0"/>
      <color rgb="FF111827"/>
      <name val="Arial"/>
      <family val="2"/>
    </font>
    <font>
      <sz val="10"/>
      <color rgb="FF11182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rgb="FF111827"/>
      </patternFill>
    </fill>
    <fill>
      <patternFill patternType="solid">
        <fgColor rgb="FFFFC000"/>
        <bgColor rgb="FFF09244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1A3A5C"/>
        <bgColor rgb="FF262626"/>
      </patternFill>
    </fill>
    <fill>
      <patternFill patternType="solid">
        <fgColor rgb="FFFEE2E2"/>
        <bgColor rgb="FFF2F2F2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2F2F2"/>
      </patternFill>
    </fill>
    <fill>
      <patternFill patternType="solid">
        <fgColor rgb="FFDBEAFE"/>
        <bgColor rgb="FFDCE6F2"/>
      </patternFill>
    </fill>
    <fill>
      <patternFill patternType="solid">
        <fgColor theme="4" tint="0.79989013336588644"/>
        <bgColor rgb="FFDBEAFE"/>
      </patternFill>
    </fill>
    <fill>
      <patternFill patternType="solid">
        <fgColor rgb="FFEBF2FA"/>
        <bgColor rgb="FFF2F2F2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/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8">
    <xf numFmtId="0" fontId="0" fillId="0" borderId="0"/>
    <xf numFmtId="0" fontId="1" fillId="0" borderId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>
      <alignment horizontal="left"/>
    </xf>
    <xf numFmtId="0" fontId="2" fillId="0" borderId="0" applyBorder="0" applyProtection="0">
      <alignment horizontal="left"/>
    </xf>
    <xf numFmtId="0" fontId="2" fillId="0" borderId="0" applyBorder="0" applyProtection="0"/>
  </cellStyleXfs>
  <cellXfs count="101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5" fillId="0" borderId="1" xfId="4" applyBorder="1"/>
    <xf numFmtId="0" fontId="15" fillId="0" borderId="2" xfId="2" applyBorder="1"/>
    <xf numFmtId="0" fontId="15" fillId="0" borderId="3" xfId="5" applyBorder="1">
      <alignment horizontal="left"/>
    </xf>
    <xf numFmtId="164" fontId="15" fillId="0" borderId="4" xfId="3" applyNumberFormat="1" applyBorder="1"/>
    <xf numFmtId="0" fontId="15" fillId="0" borderId="5" xfId="5" applyBorder="1">
      <alignment horizontal="left"/>
    </xf>
    <xf numFmtId="164" fontId="15" fillId="0" borderId="6" xfId="3" applyNumberFormat="1" applyBorder="1"/>
    <xf numFmtId="0" fontId="1" fillId="0" borderId="0" xfId="1" applyAlignment="1">
      <alignment horizontal="left"/>
    </xf>
    <xf numFmtId="164" fontId="1" fillId="0" borderId="0" xfId="1" applyNumberFormat="1"/>
    <xf numFmtId="164" fontId="15" fillId="0" borderId="7" xfId="3" applyNumberFormat="1" applyBorder="1"/>
    <xf numFmtId="165" fontId="1" fillId="0" borderId="0" xfId="1" applyNumberFormat="1" applyAlignment="1">
      <alignment horizontal="left" indent="1"/>
    </xf>
    <xf numFmtId="0" fontId="2" fillId="0" borderId="8" xfId="6" applyBorder="1">
      <alignment horizontal="left"/>
    </xf>
    <xf numFmtId="164" fontId="2" fillId="0" borderId="9" xfId="7" applyNumberFormat="1" applyBorder="1"/>
    <xf numFmtId="166" fontId="1" fillId="0" borderId="0" xfId="1" applyNumberFormat="1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5" fillId="3" borderId="11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left" vertical="center"/>
    </xf>
    <xf numFmtId="0" fontId="1" fillId="4" borderId="11" xfId="1" applyFill="1" applyBorder="1" applyAlignment="1">
      <alignment horizontal="right" vertical="center"/>
    </xf>
    <xf numFmtId="164" fontId="1" fillId="4" borderId="11" xfId="1" applyNumberFormat="1" applyFill="1" applyBorder="1" applyAlignment="1">
      <alignment horizontal="right" vertical="center"/>
    </xf>
    <xf numFmtId="0" fontId="6" fillId="0" borderId="11" xfId="1" applyFont="1" applyBorder="1" applyAlignment="1">
      <alignment horizontal="left" vertical="center"/>
    </xf>
    <xf numFmtId="0" fontId="1" fillId="0" borderId="11" xfId="1" applyBorder="1" applyAlignment="1">
      <alignment horizontal="right" vertical="center"/>
    </xf>
    <xf numFmtId="164" fontId="1" fillId="0" borderId="11" xfId="1" applyNumberFormat="1" applyBorder="1" applyAlignment="1">
      <alignment horizontal="right" vertical="center"/>
    </xf>
    <xf numFmtId="0" fontId="6" fillId="5" borderId="11" xfId="1" applyFont="1" applyFill="1" applyBorder="1" applyAlignment="1">
      <alignment horizontal="left" vertical="center"/>
    </xf>
    <xf numFmtId="164" fontId="1" fillId="5" borderId="11" xfId="1" applyNumberFormat="1" applyFill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7" fillId="5" borderId="11" xfId="1" applyFont="1" applyFill="1" applyBorder="1" applyAlignment="1">
      <alignment horizontal="left" vertical="center"/>
    </xf>
    <xf numFmtId="164" fontId="7" fillId="5" borderId="11" xfId="1" applyNumberFormat="1" applyFont="1" applyFill="1" applyBorder="1" applyAlignment="1">
      <alignment horizontal="right" vertical="center"/>
    </xf>
    <xf numFmtId="0" fontId="7" fillId="5" borderId="11" xfId="1" applyFont="1" applyFill="1" applyBorder="1" applyAlignment="1">
      <alignment horizontal="right" vertical="center"/>
    </xf>
    <xf numFmtId="166" fontId="7" fillId="5" borderId="11" xfId="1" applyNumberFormat="1" applyFont="1" applyFill="1" applyBorder="1" applyAlignment="1">
      <alignment horizontal="right" vertical="center"/>
    </xf>
    <xf numFmtId="165" fontId="7" fillId="5" borderId="11" xfId="1" applyNumberFormat="1" applyFont="1" applyFill="1" applyBorder="1" applyAlignment="1">
      <alignment horizontal="right" vertical="center"/>
    </xf>
    <xf numFmtId="0" fontId="7" fillId="4" borderId="11" xfId="1" applyFont="1" applyFill="1" applyBorder="1" applyAlignment="1">
      <alignment horizontal="left" vertical="center"/>
    </xf>
    <xf numFmtId="164" fontId="7" fillId="4" borderId="11" xfId="1" applyNumberFormat="1" applyFont="1" applyFill="1" applyBorder="1" applyAlignment="1">
      <alignment horizontal="right" vertical="center"/>
    </xf>
    <xf numFmtId="0" fontId="7" fillId="4" borderId="11" xfId="1" applyFont="1" applyFill="1" applyBorder="1" applyAlignment="1">
      <alignment horizontal="right" vertical="center"/>
    </xf>
    <xf numFmtId="166" fontId="7" fillId="4" borderId="11" xfId="1" applyNumberFormat="1" applyFont="1" applyFill="1" applyBorder="1" applyAlignment="1">
      <alignment horizontal="right" vertical="center"/>
    </xf>
    <xf numFmtId="165" fontId="7" fillId="4" borderId="11" xfId="1" applyNumberFormat="1" applyFont="1" applyFill="1" applyBorder="1" applyAlignment="1">
      <alignment horizontal="right" vertical="center"/>
    </xf>
    <xf numFmtId="0" fontId="8" fillId="2" borderId="11" xfId="1" applyFont="1" applyFill="1" applyBorder="1" applyAlignment="1">
      <alignment horizontal="left" vertical="center"/>
    </xf>
    <xf numFmtId="164" fontId="8" fillId="2" borderId="11" xfId="1" applyNumberFormat="1" applyFont="1" applyFill="1" applyBorder="1"/>
    <xf numFmtId="0" fontId="8" fillId="2" borderId="11" xfId="1" applyFont="1" applyFill="1" applyBorder="1"/>
    <xf numFmtId="166" fontId="8" fillId="2" borderId="11" xfId="1" applyNumberFormat="1" applyFont="1" applyFill="1" applyBorder="1"/>
    <xf numFmtId="165" fontId="8" fillId="2" borderId="11" xfId="1" applyNumberFormat="1" applyFont="1" applyFill="1" applyBorder="1"/>
    <xf numFmtId="0" fontId="7" fillId="5" borderId="11" xfId="1" applyFont="1" applyFill="1" applyBorder="1" applyAlignment="1">
      <alignment horizontal="center" vertical="center"/>
    </xf>
    <xf numFmtId="0" fontId="7" fillId="4" borderId="11" xfId="1" applyFont="1" applyFill="1" applyBorder="1" applyAlignment="1">
      <alignment horizontal="center" vertical="center"/>
    </xf>
    <xf numFmtId="167" fontId="7" fillId="5" borderId="11" xfId="1" applyNumberFormat="1" applyFont="1" applyFill="1" applyBorder="1" applyAlignment="1">
      <alignment horizontal="right" vertical="center"/>
    </xf>
    <xf numFmtId="167" fontId="7" fillId="4" borderId="11" xfId="1" applyNumberFormat="1" applyFont="1" applyFill="1" applyBorder="1" applyAlignment="1">
      <alignment horizontal="right" vertical="center"/>
    </xf>
    <xf numFmtId="165" fontId="9" fillId="5" borderId="11" xfId="0" applyNumberFormat="1" applyFont="1" applyFill="1" applyBorder="1" applyAlignment="1">
      <alignment horizontal="right" vertical="center"/>
    </xf>
    <xf numFmtId="0" fontId="2" fillId="0" borderId="0" xfId="0" applyFont="1"/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5" fillId="6" borderId="11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168" fontId="9" fillId="7" borderId="11" xfId="0" applyNumberFormat="1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left" vertical="center"/>
    </xf>
    <xf numFmtId="169" fontId="9" fillId="7" borderId="11" xfId="0" applyNumberFormat="1" applyFont="1" applyFill="1" applyBorder="1" applyAlignment="1">
      <alignment horizontal="left" vertical="center"/>
    </xf>
    <xf numFmtId="164" fontId="9" fillId="7" borderId="11" xfId="0" applyNumberFormat="1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/>
    </xf>
    <xf numFmtId="168" fontId="9" fillId="8" borderId="11" xfId="0" applyNumberFormat="1" applyFont="1" applyFill="1" applyBorder="1" applyAlignment="1">
      <alignment horizontal="left" vertical="center"/>
    </xf>
    <xf numFmtId="0" fontId="9" fillId="8" borderId="11" xfId="0" applyFont="1" applyFill="1" applyBorder="1" applyAlignment="1">
      <alignment horizontal="left" vertical="center"/>
    </xf>
    <xf numFmtId="169" fontId="9" fillId="8" borderId="11" xfId="0" applyNumberFormat="1" applyFont="1" applyFill="1" applyBorder="1" applyAlignment="1">
      <alignment horizontal="left" vertical="center"/>
    </xf>
    <xf numFmtId="164" fontId="9" fillId="8" borderId="11" xfId="0" applyNumberFormat="1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left" vertical="center"/>
    </xf>
    <xf numFmtId="168" fontId="9" fillId="9" borderId="11" xfId="0" applyNumberFormat="1" applyFont="1" applyFill="1" applyBorder="1" applyAlignment="1">
      <alignment horizontal="left" vertical="center"/>
    </xf>
    <xf numFmtId="0" fontId="9" fillId="9" borderId="11" xfId="0" applyFont="1" applyFill="1" applyBorder="1" applyAlignment="1">
      <alignment horizontal="left" vertical="center"/>
    </xf>
    <xf numFmtId="169" fontId="9" fillId="9" borderId="11" xfId="0" applyNumberFormat="1" applyFont="1" applyFill="1" applyBorder="1" applyAlignment="1">
      <alignment horizontal="left" vertical="center"/>
    </xf>
    <xf numFmtId="164" fontId="9" fillId="9" borderId="11" xfId="0" applyNumberFormat="1" applyFont="1" applyFill="1" applyBorder="1" applyAlignment="1">
      <alignment horizontal="left" vertical="center"/>
    </xf>
    <xf numFmtId="0" fontId="6" fillId="10" borderId="11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168" fontId="9" fillId="10" borderId="11" xfId="0" applyNumberFormat="1" applyFont="1" applyFill="1" applyBorder="1" applyAlignment="1">
      <alignment horizontal="left" vertical="center"/>
    </xf>
    <xf numFmtId="169" fontId="9" fillId="10" borderId="11" xfId="0" applyNumberFormat="1" applyFont="1" applyFill="1" applyBorder="1" applyAlignment="1">
      <alignment horizontal="left" vertical="center"/>
    </xf>
    <xf numFmtId="164" fontId="9" fillId="10" borderId="11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left" vertical="center"/>
    </xf>
    <xf numFmtId="168" fontId="9" fillId="11" borderId="11" xfId="0" applyNumberFormat="1" applyFont="1" applyFill="1" applyBorder="1" applyAlignment="1">
      <alignment horizontal="left" vertical="center"/>
    </xf>
    <xf numFmtId="0" fontId="9" fillId="11" borderId="11" xfId="0" applyFont="1" applyFill="1" applyBorder="1" applyAlignment="1">
      <alignment horizontal="left" vertical="center"/>
    </xf>
    <xf numFmtId="169" fontId="9" fillId="11" borderId="11" xfId="0" applyNumberFormat="1" applyFont="1" applyFill="1" applyBorder="1" applyAlignment="1">
      <alignment horizontal="left" vertical="center"/>
    </xf>
    <xf numFmtId="164" fontId="9" fillId="11" borderId="11" xfId="0" applyNumberFormat="1" applyFont="1" applyFill="1" applyBorder="1" applyAlignment="1">
      <alignment horizontal="left" vertical="center"/>
    </xf>
    <xf numFmtId="170" fontId="9" fillId="11" borderId="11" xfId="0" applyNumberFormat="1" applyFont="1" applyFill="1" applyBorder="1" applyAlignment="1">
      <alignment horizontal="left" vertical="center"/>
    </xf>
    <xf numFmtId="4" fontId="9" fillId="11" borderId="11" xfId="0" applyNumberFormat="1" applyFont="1" applyFill="1" applyBorder="1" applyAlignment="1">
      <alignment horizontal="left" vertical="center"/>
    </xf>
    <xf numFmtId="171" fontId="1" fillId="0" borderId="0" xfId="1" applyNumberFormat="1"/>
    <xf numFmtId="0" fontId="13" fillId="3" borderId="14" xfId="1" applyFont="1" applyFill="1" applyBorder="1" applyAlignment="1">
      <alignment horizontal="center" vertical="center" wrapText="1"/>
    </xf>
    <xf numFmtId="0" fontId="14" fillId="12" borderId="14" xfId="1" applyFont="1" applyFill="1" applyBorder="1" applyAlignment="1">
      <alignment vertical="center"/>
    </xf>
    <xf numFmtId="0" fontId="14" fillId="4" borderId="14" xfId="1" applyFont="1" applyFill="1" applyBorder="1" applyAlignment="1">
      <alignment vertical="center"/>
    </xf>
    <xf numFmtId="0" fontId="1" fillId="13" borderId="0" xfId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1" fillId="13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3" fillId="3" borderId="12" xfId="0" applyFont="1" applyFill="1" applyBorder="1" applyAlignment="1">
      <alignment horizontal="center" vertical="center"/>
    </xf>
    <xf numFmtId="0" fontId="1" fillId="13" borderId="13" xfId="1" applyFill="1" applyBorder="1" applyAlignment="1">
      <alignment horizontal="left" vertical="center"/>
    </xf>
    <xf numFmtId="0" fontId="1" fillId="0" borderId="0" xfId="1" applyAlignment="1">
      <alignment horizontal="center"/>
    </xf>
    <xf numFmtId="0" fontId="12" fillId="5" borderId="10" xfId="0" applyFont="1" applyFill="1" applyBorder="1" applyAlignment="1">
      <alignment horizontal="left" vertical="center"/>
    </xf>
    <xf numFmtId="0" fontId="16" fillId="11" borderId="11" xfId="0" applyFont="1" applyFill="1" applyBorder="1" applyAlignment="1">
      <alignment horizontal="left" vertical="center"/>
    </xf>
    <xf numFmtId="0" fontId="17" fillId="11" borderId="11" xfId="0" applyFont="1" applyFill="1" applyBorder="1" applyAlignment="1">
      <alignment horizontal="left" vertical="center"/>
    </xf>
    <xf numFmtId="0" fontId="17" fillId="7" borderId="11" xfId="0" applyFont="1" applyFill="1" applyBorder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Pivot Table Category" xfId="5" xr:uid="{00000000-0005-0000-0000-00000A000000}"/>
    <cellStyle name="Pivot Table Corner" xfId="2" xr:uid="{00000000-0005-0000-0000-000007000000}"/>
    <cellStyle name="Pivot Table Field" xfId="4" xr:uid="{00000000-0005-0000-0000-000009000000}"/>
    <cellStyle name="Pivot Table Result" xfId="7" xr:uid="{00000000-0005-0000-0000-00000C000000}"/>
    <cellStyle name="Pivot Table Title" xfId="6" xr:uid="{00000000-0005-0000-0000-00000B000000}"/>
    <cellStyle name="Pivot Table Value" xfId="3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76A68"/>
      <rgbColor rgb="FF96B656"/>
      <rgbColor rgb="FFD9D9D9"/>
      <rgbColor rgb="FFB8CD97"/>
      <rgbColor rgb="FFFFC7CE"/>
      <rgbColor rgb="FF92C3D5"/>
      <rgbColor rgb="FF9C0006"/>
      <rgbColor rgb="FF4F81BD"/>
      <rgbColor rgb="FFFEE2E2"/>
      <rgbColor rgb="FF738B42"/>
      <rgbColor rgb="FF705395"/>
      <rgbColor rgb="FF379FBA"/>
      <rgbColor rgb="FFCCC1DA"/>
      <rgbColor rgb="FF8F78AC"/>
      <rgbColor rgb="FF93A9CE"/>
      <rgbColor rgb="FF8F3B39"/>
      <rgbColor rgb="FFFEF3C7"/>
      <rgbColor rgb="FFDBEAFE"/>
      <rgbColor rgb="FF6990C4"/>
      <rgbColor rgb="FFDC853E"/>
      <rgbColor rgb="FF4672A8"/>
      <rgbColor rgb="FFD1D5DB"/>
      <rgbColor rgb="FFF9FAFB"/>
      <rgbColor rgb="FFB8CCE4"/>
      <rgbColor rgb="FFA6C270"/>
      <rgbColor rgb="FF8EB4E3"/>
      <rgbColor rgb="FFBA4D4A"/>
      <rgbColor rgb="FF8AA64F"/>
      <rgbColor rgb="FF4299B0"/>
      <rgbColor rgb="FFDCE6F2"/>
      <rgbColor rgb="FF67B5CD"/>
      <rgbColor rgb="FFEBF2FA"/>
      <rgbColor rgb="FFD1FAE5"/>
      <rgbColor rgb="FFF2F2F2"/>
      <rgbColor rgb="FF99CCFF"/>
      <rgbColor rgb="FFE6B9B8"/>
      <rgbColor rgb="FFD09493"/>
      <rgbColor rgb="FFFCD5B5"/>
      <rgbColor rgb="FF3B71B1"/>
      <rgbColor rgb="FF49A7C0"/>
      <rgbColor rgb="FF8DAE45"/>
      <rgbColor rgb="FFFFC000"/>
      <rgbColor rgb="FFF09244"/>
      <rgbColor rgb="FFB86F34"/>
      <rgbColor rgb="FF725990"/>
      <rgbColor rgb="FFA99BBD"/>
      <rgbColor rgb="FF1A3A5C"/>
      <rgbColor rgb="FF378093"/>
      <rgbColor rgb="FF111827"/>
      <rgbColor rgb="FF595959"/>
      <rgbColor rgb="FFB43C3A"/>
      <rgbColor rgb="FFAB4744"/>
      <rgbColor rgb="FF4B5563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GASTOS POR PERÍODO TMS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Soma de Total (R$)</c:v>
                </c:pt>
              </c:strCache>
            </c:strRef>
          </c:tx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Total Result</c:v>
                </c:pt>
              </c:strCache>
            </c:strRef>
          </c:cat>
          <c:val>
            <c:numRef>
              <c:f>Dashboard!$B$4:$B$7</c:f>
              <c:numCache>
                <c:formatCode>"R$ "#,##0.00</c:formatCode>
                <c:ptCount val="4"/>
                <c:pt idx="0">
                  <c:v>196464.95</c:v>
                </c:pt>
                <c:pt idx="1">
                  <c:v>161452.74</c:v>
                </c:pt>
                <c:pt idx="2">
                  <c:v>47807.99</c:v>
                </c:pt>
                <c:pt idx="3">
                  <c:v>405725.68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E-4C4A-8F9F-4C203A10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743261"/>
        <c:axId val="52629284"/>
      </c:barChart>
      <c:catAx>
        <c:axId val="947432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52629284"/>
        <c:crosses val="autoZero"/>
        <c:auto val="1"/>
        <c:lblAlgn val="ctr"/>
        <c:lblOffset val="100"/>
        <c:noMultiLvlLbl val="0"/>
      </c:catAx>
      <c:valAx>
        <c:axId val="52629284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947432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GASTOS POR PERÍODO RAZÃO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Soma de Total (R$)</c:v>
                </c:pt>
              </c:strCache>
            </c:strRef>
          </c:tx>
          <c:spPr>
            <a:gradFill>
              <a:gsLst>
                <a:gs pos="0">
                  <a:srgbClr val="6990C4"/>
                </a:gs>
                <a:gs pos="50000">
                  <a:srgbClr val="4980C1"/>
                </a:gs>
                <a:gs pos="100000">
                  <a:srgbClr val="3B71B1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Dashboard!$F$4:$F$7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Total Result</c:v>
                </c:pt>
              </c:strCache>
            </c:strRef>
          </c:cat>
          <c:val>
            <c:numRef>
              <c:f>Dashboard!$G$4:$G$7</c:f>
              <c:numCache>
                <c:formatCode>"R$ "#,##0.00</c:formatCode>
                <c:ptCount val="4"/>
                <c:pt idx="0">
                  <c:v>360728.28</c:v>
                </c:pt>
                <c:pt idx="1">
                  <c:v>319489.03999999998</c:v>
                </c:pt>
                <c:pt idx="2">
                  <c:v>119547.84</c:v>
                </c:pt>
                <c:pt idx="3">
                  <c:v>799765.16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7-48D6-82E6-039DFBD85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953161"/>
        <c:axId val="853370"/>
      </c:barChart>
      <c:catAx>
        <c:axId val="229531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853370"/>
        <c:crosses val="autoZero"/>
        <c:auto val="1"/>
        <c:lblAlgn val="ctr"/>
        <c:lblOffset val="100"/>
        <c:noMultiLvlLbl val="0"/>
      </c:catAx>
      <c:valAx>
        <c:axId val="853370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22953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RANKING DE POSTOS POR GASTO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Dashboard!$B$19</c:f>
              <c:strCache>
                <c:ptCount val="1"/>
                <c:pt idx="0">
                  <c:v>Soma de Total (R$)</c:v>
                </c:pt>
              </c:strCache>
            </c:strRef>
          </c:tx>
          <c:spPr>
            <a:gradFill>
              <a:gsLst>
                <a:gs pos="0">
                  <a:srgbClr val="738B42"/>
                </a:gs>
                <a:gs pos="80000">
                  <a:srgbClr val="96B556"/>
                </a:gs>
                <a:gs pos="100000">
                  <a:srgbClr val="96B65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Dashboard!$A$20:$A$30</c:f>
              <c:strCache>
                <c:ptCount val="11"/>
                <c:pt idx="0">
                  <c:v>Posto Gp Brasil</c:v>
                </c:pt>
                <c:pt idx="1">
                  <c:v>Auto Posto o Cupim S</c:v>
                </c:pt>
                <c:pt idx="2">
                  <c:v>Postos Mahle Brasil</c:v>
                </c:pt>
                <c:pt idx="3">
                  <c:v>Postos Pelanda</c:v>
                </c:pt>
                <c:pt idx="4">
                  <c:v>Pelanda</c:v>
                </c:pt>
                <c:pt idx="5">
                  <c:v>Posto Ongarato</c:v>
                </c:pt>
                <c:pt idx="6">
                  <c:v>Auto Posto Alphavill</c:v>
                </c:pt>
                <c:pt idx="7">
                  <c:v>Posto Br 376</c:v>
                </c:pt>
                <c:pt idx="8">
                  <c:v>Sim Rede de Postos</c:v>
                </c:pt>
                <c:pt idx="9">
                  <c:v>SIM REDE DE POSTOS L</c:v>
                </c:pt>
                <c:pt idx="10">
                  <c:v>Total Result</c:v>
                </c:pt>
              </c:strCache>
            </c:strRef>
          </c:cat>
          <c:val>
            <c:numRef>
              <c:f>Dashboard!$B$20:$B$30</c:f>
              <c:numCache>
                <c:formatCode>"R$ "#,##0.00</c:formatCode>
                <c:ptCount val="11"/>
                <c:pt idx="0">
                  <c:v>213901.4</c:v>
                </c:pt>
                <c:pt idx="1">
                  <c:v>119523.24</c:v>
                </c:pt>
                <c:pt idx="2">
                  <c:v>33963.67</c:v>
                </c:pt>
                <c:pt idx="3">
                  <c:v>26126.76</c:v>
                </c:pt>
                <c:pt idx="4">
                  <c:v>3216.25</c:v>
                </c:pt>
                <c:pt idx="5">
                  <c:v>2404</c:v>
                </c:pt>
                <c:pt idx="6">
                  <c:v>2119.1999999999998</c:v>
                </c:pt>
                <c:pt idx="7">
                  <c:v>1965</c:v>
                </c:pt>
                <c:pt idx="8">
                  <c:v>1144</c:v>
                </c:pt>
                <c:pt idx="9">
                  <c:v>529.34</c:v>
                </c:pt>
                <c:pt idx="10">
                  <c:v>404892.86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A-4121-99E9-FC5BFDBD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726286"/>
        <c:axId val="42217786"/>
      </c:barChart>
      <c:catAx>
        <c:axId val="647262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42217786"/>
        <c:crosses val="autoZero"/>
        <c:auto val="1"/>
        <c:lblAlgn val="ctr"/>
        <c:lblOffset val="100"/>
        <c:noMultiLvlLbl val="0"/>
      </c:catAx>
      <c:valAx>
        <c:axId val="4221778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64726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pt-BR" sz="1600" b="1" strike="noStrike" spc="97">
                <a:solidFill>
                  <a:srgbClr val="F2F2F2"/>
                </a:solidFill>
                <a:latin typeface="Calibri"/>
              </a:rPr>
              <a:t>RANKING DE PLACAS — GASTOS E LITRAGEM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Soma de Total Gasto (R$)</c:v>
                </c:pt>
              </c:strCache>
            </c:strRef>
          </c:tx>
          <c:spPr>
            <a:gradFill>
              <a:gsLst>
                <a:gs pos="0">
                  <a:srgbClr val="B86F34"/>
                </a:gs>
                <a:gs pos="80000">
                  <a:srgbClr val="EF9143"/>
                </a:gs>
                <a:gs pos="100000">
                  <a:srgbClr val="F0924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Dashboard!$A$34:$A$44</c:f>
              <c:strCache>
                <c:ptCount val="11"/>
                <c:pt idx="0">
                  <c:v>EVU-4312</c:v>
                </c:pt>
                <c:pt idx="1">
                  <c:v>RHM-3I21</c:v>
                </c:pt>
                <c:pt idx="2">
                  <c:v>ASF-3187</c:v>
                </c:pt>
                <c:pt idx="3">
                  <c:v>BDR-2I48</c:v>
                </c:pt>
                <c:pt idx="4">
                  <c:v>BCG-6714</c:v>
                </c:pt>
                <c:pt idx="5">
                  <c:v>RHL-4D96</c:v>
                </c:pt>
                <c:pt idx="6">
                  <c:v>TBN-3C78</c:v>
                </c:pt>
                <c:pt idx="7">
                  <c:v>BBM-8139</c:v>
                </c:pt>
                <c:pt idx="8">
                  <c:v>NZK-2A89</c:v>
                </c:pt>
                <c:pt idx="9">
                  <c:v>RHN-6B84</c:v>
                </c:pt>
                <c:pt idx="10">
                  <c:v>Total Geral</c:v>
                </c:pt>
              </c:strCache>
            </c:strRef>
          </c:cat>
          <c:val>
            <c:numRef>
              <c:f>Dashboard!$B$34:$B$44</c:f>
              <c:numCache>
                <c:formatCode>"R$ "#,##0.00</c:formatCode>
                <c:ptCount val="11"/>
                <c:pt idx="0">
                  <c:v>24259.66</c:v>
                </c:pt>
                <c:pt idx="1">
                  <c:v>21344.03</c:v>
                </c:pt>
                <c:pt idx="2">
                  <c:v>21118.14</c:v>
                </c:pt>
                <c:pt idx="3">
                  <c:v>20339.169999999998</c:v>
                </c:pt>
                <c:pt idx="4">
                  <c:v>19688.009999999998</c:v>
                </c:pt>
                <c:pt idx="5">
                  <c:v>19638.07</c:v>
                </c:pt>
                <c:pt idx="6">
                  <c:v>19144.05</c:v>
                </c:pt>
                <c:pt idx="7">
                  <c:v>18276.990000000002</c:v>
                </c:pt>
                <c:pt idx="8">
                  <c:v>17584.39</c:v>
                </c:pt>
                <c:pt idx="9">
                  <c:v>16833.48</c:v>
                </c:pt>
                <c:pt idx="10">
                  <c:v>198225.99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3-4CAD-B40A-51C832B2247A}"/>
            </c:ext>
          </c:extLst>
        </c:ser>
        <c:ser>
          <c:idx val="1"/>
          <c:order val="1"/>
          <c:tx>
            <c:strRef>
              <c:f>Dashboard!$C$33</c:f>
              <c:strCache>
                <c:ptCount val="1"/>
                <c:pt idx="0">
                  <c:v>Soma de Total Litros</c:v>
                </c:pt>
              </c:strCache>
            </c:strRef>
          </c:tx>
          <c:spPr>
            <a:gradFill>
              <a:gsLst>
                <a:gs pos="0">
                  <a:srgbClr val="378093"/>
                </a:gs>
                <a:gs pos="80000">
                  <a:srgbClr val="48A6BF"/>
                </a:gs>
                <a:gs pos="100000">
                  <a:srgbClr val="49A7C0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Dashboard!$A$34:$A$44</c:f>
              <c:strCache>
                <c:ptCount val="11"/>
                <c:pt idx="0">
                  <c:v>EVU-4312</c:v>
                </c:pt>
                <c:pt idx="1">
                  <c:v>RHM-3I21</c:v>
                </c:pt>
                <c:pt idx="2">
                  <c:v>ASF-3187</c:v>
                </c:pt>
                <c:pt idx="3">
                  <c:v>BDR-2I48</c:v>
                </c:pt>
                <c:pt idx="4">
                  <c:v>BCG-6714</c:v>
                </c:pt>
                <c:pt idx="5">
                  <c:v>RHL-4D96</c:v>
                </c:pt>
                <c:pt idx="6">
                  <c:v>TBN-3C78</c:v>
                </c:pt>
                <c:pt idx="7">
                  <c:v>BBM-8139</c:v>
                </c:pt>
                <c:pt idx="8">
                  <c:v>NZK-2A89</c:v>
                </c:pt>
                <c:pt idx="9">
                  <c:v>RHN-6B84</c:v>
                </c:pt>
                <c:pt idx="10">
                  <c:v>Total Geral</c:v>
                </c:pt>
              </c:strCache>
            </c:strRef>
          </c:cat>
          <c:val>
            <c:numRef>
              <c:f>Dashboard!$C$34:$C$44</c:f>
              <c:numCache>
                <c:formatCode>#,##0.0</c:formatCode>
                <c:ptCount val="11"/>
                <c:pt idx="0">
                  <c:v>4063</c:v>
                </c:pt>
                <c:pt idx="1">
                  <c:v>3807.4</c:v>
                </c:pt>
                <c:pt idx="2">
                  <c:v>3622.6</c:v>
                </c:pt>
                <c:pt idx="3">
                  <c:v>3656.2</c:v>
                </c:pt>
                <c:pt idx="4">
                  <c:v>3556.2</c:v>
                </c:pt>
                <c:pt idx="5">
                  <c:v>3514.4</c:v>
                </c:pt>
                <c:pt idx="6">
                  <c:v>3230.6</c:v>
                </c:pt>
                <c:pt idx="7">
                  <c:v>3261.3</c:v>
                </c:pt>
                <c:pt idx="8">
                  <c:v>3086.2</c:v>
                </c:pt>
                <c:pt idx="9">
                  <c:v>2967.2</c:v>
                </c:pt>
                <c:pt idx="10">
                  <c:v>34765.1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3-4CAD-B40A-51C832B2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85897"/>
        <c:axId val="28446992"/>
      </c:barChart>
      <c:catAx>
        <c:axId val="14185897"/>
        <c:scaling>
          <c:orientation val="minMax"/>
        </c:scaling>
        <c:delete val="1"/>
        <c:axPos val="b"/>
        <c:majorGridlines/>
        <c:numFmt formatCode="General" sourceLinked="0"/>
        <c:majorTickMark val="none"/>
        <c:minorTickMark val="none"/>
        <c:tickLblPos val="nextTo"/>
        <c:crossAx val="28446992"/>
        <c:crosses val="autoZero"/>
        <c:auto val="1"/>
        <c:lblAlgn val="ctr"/>
        <c:lblOffset val="100"/>
        <c:noMultiLvlLbl val="0"/>
      </c:catAx>
      <c:valAx>
        <c:axId val="2844699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pt-BR"/>
          </a:p>
        </c:txPr>
        <c:crossAx val="14185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97" baseline="0">
                <a:solidFill>
                  <a:srgbClr val="F2F2F2"/>
                </a:solidFill>
                <a:latin typeface="Calibri"/>
                <a:ea typeface="+mn-ea"/>
                <a:cs typeface="+mn-cs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TIPO DE COMBUSTÍVEL</a:t>
            </a:r>
          </a:p>
        </c:rich>
      </c:tx>
      <c:layout>
        <c:manualLayout>
          <c:xMode val="edge"/>
          <c:yMode val="edge"/>
          <c:x val="0.24836380811011399"/>
          <c:y val="5.37845209682919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97" baseline="0">
              <a:solidFill>
                <a:srgbClr val="F2F2F2"/>
              </a:solidFill>
              <a:latin typeface="Calibri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670535051615998E-2"/>
          <c:y val="0.234998295260825"/>
          <c:w val="0.95958437352405401"/>
          <c:h val="0.50272758267984996"/>
        </c:manualLayout>
      </c:layout>
      <c:doughnutChart>
        <c:varyColors val="1"/>
        <c:ser>
          <c:idx val="0"/>
          <c:order val="0"/>
          <c:tx>
            <c:strRef>
              <c:f>Dashboard!$L$4</c:f>
              <c:strCache>
                <c:ptCount val="1"/>
                <c:pt idx="0">
                  <c:v>Soma de Total (R$)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2B-4354-A7AF-4859E4071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2B-4354-A7AF-4859E4071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2B-4354-A7AF-4859E4071B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2B-4354-A7AF-4859E4071B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52B-4354-A7AF-4859E4071B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52B-4354-A7AF-4859E4071B9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2B-4354-A7AF-4859E4071B9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2B-4354-A7AF-4859E4071B9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2B-4354-A7AF-4859E4071B9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2B-4354-A7AF-4859E4071B9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2B-4354-A7AF-4859E4071B9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B-4354-A7AF-4859E4071B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spc="-1" baseline="0">
                    <a:solidFill>
                      <a:srgbClr val="D9D9D9"/>
                    </a:solidFill>
                    <a:latin typeface="Calibri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Dashboard!$K$5:$K$15</c15:sqref>
                  </c15:fullRef>
                </c:ext>
              </c:extLst>
              <c:f>(Dashboard!$K$5,Dashboard!$K$7,Dashboard!$K$9,Dashboard!$K$11,Dashboard!$K$13,Dashboard!$K$15)</c:f>
              <c:strCache>
                <c:ptCount val="6"/>
                <c:pt idx="0">
                  <c:v>Arla32</c:v>
                </c:pt>
                <c:pt idx="1">
                  <c:v>Diesel</c:v>
                </c:pt>
                <c:pt idx="2">
                  <c:v>Diesel S10</c:v>
                </c:pt>
                <c:pt idx="3">
                  <c:v>Diesel S500</c:v>
                </c:pt>
                <c:pt idx="4">
                  <c:v>Gasolina comum</c:v>
                </c:pt>
                <c:pt idx="5">
                  <c:v>Total Geral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Dashboard!$L$5:$L$15</c15:sqref>
                  </c15:fullRef>
                </c:ext>
              </c:extLst>
              <c:f>(Dashboard!$L$5,Dashboard!$L$7,Dashboard!$L$9,Dashboard!$L$11,Dashboard!$L$13,Dashboard!$L$15)</c:f>
              <c:numCache>
                <c:formatCode>"R$ "#,##0.00</c:formatCode>
                <c:ptCount val="6"/>
                <c:pt idx="0">
                  <c:v>4001.64</c:v>
                </c:pt>
                <c:pt idx="1">
                  <c:v>354.64</c:v>
                </c:pt>
                <c:pt idx="2">
                  <c:v>292267.42</c:v>
                </c:pt>
                <c:pt idx="3">
                  <c:v>89300.56</c:v>
                </c:pt>
                <c:pt idx="4">
                  <c:v>19801.419999999998</c:v>
                </c:pt>
                <c:pt idx="5">
                  <c:v>405725.68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Dashboard!$L$6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0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CC0B-4F9F-967B-3AFB551D902E}"/>
                      </c:ext>
                    </c:extLst>
                  </c15:dLbl>
                </c15:categoryFilterException>
                <c15:categoryFilterException>
                  <c15:sqref>Dashboard!$L$8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1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CC0B-4F9F-967B-3AFB551D902E}"/>
                      </c:ext>
                    </c:extLst>
                  </c15:dLbl>
                </c15:categoryFilterException>
                <c15:categoryFilterException>
                  <c15:sqref>Dashboard!$L$10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2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CC0B-4F9F-967B-3AFB551D902E}"/>
                      </c:ext>
                    </c:extLst>
                  </c15:dLbl>
                </c15:categoryFilterException>
                <c15:categoryFilterException>
                  <c15:sqref>Dashboard!$L$12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CC0B-4F9F-967B-3AFB551D902E}"/>
                      </c:ext>
                    </c:extLst>
                  </c15:dLbl>
                </c15:categoryFilterException>
                <c15:categoryFilterException>
                  <c15:sqref>Dashboard!$L$14</c15:sqref>
                  <c15:spPr xmlns:c15="http://schemas.microsoft.com/office/drawing/2012/chart"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4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CC0B-4F9F-967B-3AFB551D902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552B-4354-A7AF-4859E4071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r"/>
      <c:layout>
        <c:manualLayout>
          <c:xMode val="edge"/>
          <c:yMode val="edge"/>
          <c:x val="0.65147979078684304"/>
          <c:y val="0.78403700679730903"/>
          <c:w val="0.295762417741529"/>
          <c:h val="0.16941422674879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-1" baseline="0">
              <a:solidFill>
                <a:srgbClr val="D9D9D9"/>
              </a:solidFill>
              <a:latin typeface="Calibri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281610</xdr:rowOff>
    </xdr:from>
    <xdr:to>
      <xdr:col>5</xdr:col>
      <xdr:colOff>21960</xdr:colOff>
      <xdr:row>18</xdr:row>
      <xdr:rowOff>10801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19080</xdr:colOff>
      <xdr:row>1</xdr:row>
      <xdr:rowOff>281609</xdr:rowOff>
    </xdr:from>
    <xdr:to>
      <xdr:col>10</xdr:col>
      <xdr:colOff>9360</xdr:colOff>
      <xdr:row>18</xdr:row>
      <xdr:rowOff>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185760</xdr:rowOff>
    </xdr:from>
    <xdr:to>
      <xdr:col>10</xdr:col>
      <xdr:colOff>9000</xdr:colOff>
      <xdr:row>31</xdr:row>
      <xdr:rowOff>9360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9000</xdr:colOff>
      <xdr:row>46</xdr:row>
      <xdr:rowOff>70920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3960</xdr:colOff>
      <xdr:row>1</xdr:row>
      <xdr:rowOff>281610</xdr:rowOff>
    </xdr:from>
    <xdr:to>
      <xdr:col>14</xdr:col>
      <xdr:colOff>8544</xdr:colOff>
      <xdr:row>46</xdr:row>
      <xdr:rowOff>70201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" xr:uid="{00000000-000A-0000-FFFF-FFFF01000000}">
  <cacheSource type="worksheet">
    <worksheetSource ref="A36:G49" sheet="KPI"/>
  </cacheSource>
  <cacheFields count="7">
    <cacheField name="#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Posto" numFmtId="0">
      <sharedItems count="13">
        <s v="Auto Posto Alphavill"/>
        <s v="Auto Posto o Cupim S"/>
        <s v="Pelanda"/>
        <s v="Posto Baleia Franca"/>
        <s v="Posto Br 376"/>
        <s v="Posto Gp Brasil"/>
        <s v="Posto Jau"/>
        <s v="Posto Ongarato"/>
        <s v="Postos Mahle Brasil"/>
        <s v="Postos Pelanda"/>
        <s v="RODOPOSTO GPN COMERC"/>
        <s v="Sim Rede de Postos"/>
        <s v="SIM REDE DE POSTOS L"/>
      </sharedItems>
    </cacheField>
    <cacheField name="Total (R$)" numFmtId="0">
      <sharedItems containsSemiMixedTypes="0" containsString="0" containsNumber="1" minValue="182.37" maxValue="213901.4" count="13">
        <n v="182.37"/>
        <n v="212.15"/>
        <n v="438.3"/>
        <n v="529.34"/>
        <n v="1144"/>
        <n v="1965"/>
        <n v="2119.1999999999998"/>
        <n v="2404"/>
        <n v="3216.25"/>
        <n v="26126.76"/>
        <n v="33963.67"/>
        <n v="119523.24"/>
        <n v="213901.4"/>
      </sharedItems>
    </cacheField>
    <cacheField name="Qtd Abast." numFmtId="0">
      <sharedItems containsSemiMixedTypes="0" containsString="0" containsNumber="1" containsInteger="1" minValue="1" maxValue="165" count="7">
        <n v="1"/>
        <n v="2"/>
        <n v="8"/>
        <n v="11"/>
        <n v="35"/>
        <n v="66"/>
        <n v="165"/>
      </sharedItems>
    </cacheField>
    <cacheField name="Total Litros" numFmtId="0">
      <sharedItems containsSemiMixedTypes="0" containsString="0" containsNumber="1" minValue="28.1" maxValue="35616.800000000003" count="13">
        <n v="28.1"/>
        <n v="31.9"/>
        <n v="67.599999999999994"/>
        <n v="82.8"/>
        <n v="200"/>
        <n v="300"/>
        <n v="303.60000000000002"/>
        <n v="400"/>
        <n v="549.5"/>
        <n v="4539.8"/>
        <n v="5698.6"/>
        <n v="21554"/>
        <n v="35616.800000000003"/>
      </sharedItems>
    </cacheField>
    <cacheField name="Ticket Médio (R$)" numFmtId="0">
      <sharedItems containsSemiMixedTypes="0" containsString="0" containsNumber="1" minValue="182.37" maxValue="2404" count="13">
        <n v="182.37"/>
        <n v="212.15"/>
        <n v="219.15"/>
        <n v="264.67"/>
        <n v="264.89999999999998"/>
        <n v="970.39057142857098"/>
        <n v="1144"/>
        <n v="1296.37212121212"/>
        <n v="1608.125"/>
        <n v="1810.95818181818"/>
        <n v="1965"/>
        <n v="2375.16"/>
        <n v="2404"/>
      </sharedItems>
    </cacheField>
    <cacheField name="% do Total" numFmtId="0">
      <sharedItems containsSemiMixedTypes="0" containsString="0" containsNumber="1" minValue="4.4949089739648702E-4" maxValue="0.52720695421596198" count="13">
        <n v="4.4949089739648702E-4"/>
        <n v="5.2289024446271204E-4"/>
        <n v="1.08028656209289E-3"/>
        <n v="1.3046746264619E-3"/>
        <n v="2.8196391216843901E-3"/>
        <n v="4.8431738410050903E-3"/>
        <n v="5.2232335897496101E-3"/>
        <n v="5.92518570675635E-3"/>
        <n v="7.9271541303473792E-3"/>
        <n v="6.4395135156344999E-2"/>
        <n v="8.3710920146834206E-2"/>
        <n v="0.294591261760902"/>
        <n v="0.527206954215961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" xr:uid="{00000000-000A-0000-FFFF-FFFF02000000}">
  <cacheSource type="worksheet">
    <worksheetSource ref="A29:F33" sheet="KPI"/>
  </cacheSource>
  <cacheFields count="6">
    <cacheField name="Mês" numFmtId="0">
      <sharedItems count="4">
        <s v="Fevereiro"/>
        <s v="Janeiro"/>
        <s v="Março"/>
        <s v="TOTAL"/>
      </sharedItems>
    </cacheField>
    <cacheField name="Total (R$)" numFmtId="0">
      <sharedItems containsSemiMixedTypes="0" containsString="0" containsNumber="1" minValue="119547.84" maxValue="799765.16" count="4">
        <n v="119547.84"/>
        <n v="319489.03999999998"/>
        <n v="360728.28"/>
        <n v="799765.16"/>
      </sharedItems>
    </cacheField>
    <cacheField name="Qtd Lançamentos" numFmtId="0">
      <sharedItems containsSemiMixedTypes="0" containsString="0" containsNumber="1" containsInteger="1" minValue="44" maxValue="352" count="4">
        <n v="44"/>
        <n v="139"/>
        <n v="169"/>
        <n v="352"/>
      </sharedItems>
    </cacheField>
    <cacheField name="Ticket Médio (R$)" numFmtId="0">
      <sharedItems containsSemiMixedTypes="0" containsString="0" containsNumber="1" minValue="2134.4868639053302" maxValue="2716.99636363636" count="4">
        <n v="2134.4868639053302"/>
        <n v="2272.0601136363598"/>
        <n v="2298.4823021582702"/>
        <n v="2716.99636363636"/>
      </sharedItems>
    </cacheField>
    <cacheField name="% do Total" numFmtId="0">
      <sharedItems containsSemiMixedTypes="0" containsString="0" containsNumber="1" minValue="0.14947867946635701" maxValue="1" count="4">
        <n v="0.14947867946635701"/>
        <n v="0.39947856693332301"/>
        <n v="0.45104275360031898"/>
        <n v="1"/>
      </sharedItems>
    </cacheField>
    <cacheField name="Var. vs TMS (R$)" numFmtId="0">
      <sharedItems containsSemiMixedTypes="0" containsString="0" containsNumber="1" minValue="71739.850000000006" maxValue="394039.48" count="4">
        <n v="71739.850000000006"/>
        <n v="158036.29999999999"/>
        <n v="164263.32999999999"/>
        <n v="394039.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" xr:uid="{00000000-000A-0000-FFFF-FFFF03000000}">
  <cacheSource type="worksheet">
    <worksheetSource ref="A22:F26" sheet="KPI"/>
  </cacheSource>
  <cacheFields count="6">
    <cacheField name="Mês" numFmtId="0">
      <sharedItems count="4">
        <s v="Fevereiro"/>
        <s v="Janeiro"/>
        <s v="Março"/>
        <s v="TOTAL"/>
      </sharedItems>
    </cacheField>
    <cacheField name="Total (R$)" numFmtId="0">
      <sharedItems containsSemiMixedTypes="0" containsString="0" containsNumber="1" minValue="47807.99" maxValue="405725.68" count="4">
        <n v="47807.99"/>
        <n v="161452.74"/>
        <n v="196464.95"/>
        <n v="405725.68"/>
      </sharedItems>
    </cacheField>
    <cacheField name="Qtd Abast." numFmtId="0">
      <sharedItems containsSemiMixedTypes="0" containsString="0" containsNumber="1" containsInteger="1" minValue="36" maxValue="296" count="4">
        <n v="36"/>
        <n v="128"/>
        <n v="132"/>
        <n v="296"/>
      </sharedItems>
    </cacheField>
    <cacheField name="Total Litros" numFmtId="0">
      <sharedItems containsSemiMixedTypes="0" containsString="0" containsNumber="1" minValue="7763.2" maxValue="69372.800000000003" count="4">
        <n v="7763.2"/>
        <n v="27770.799999999999"/>
        <n v="33838.800000000003"/>
        <n v="69372.800000000003"/>
      </sharedItems>
    </cacheField>
    <cacheField name="Ticket Médio (R$)" numFmtId="0">
      <sharedItems containsSemiMixedTypes="0" containsString="0" containsNumber="1" minValue="1223.12681818182" maxValue="1534.8824218750001" count="4">
        <n v="1223.12681818182"/>
        <n v="1327.99972222222"/>
        <n v="1370.6948648648699"/>
        <n v="1534.8824218750001"/>
      </sharedItems>
    </cacheField>
    <cacheField name="% do Total" numFmtId="0">
      <sharedItems containsMixedTypes="1" containsNumber="1" minValue="0.117833285780678" maxValue="0.48423099568161398" count="4">
        <n v="0.117833285780678"/>
        <n v="0.39793571853770798"/>
        <n v="0.48423099568161398"/>
        <s v="10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5"/>
    <x v="12"/>
    <x v="6"/>
    <x v="12"/>
    <x v="7"/>
    <x v="12"/>
  </r>
  <r>
    <x v="1"/>
    <x v="1"/>
    <x v="11"/>
    <x v="5"/>
    <x v="11"/>
    <x v="9"/>
    <x v="11"/>
  </r>
  <r>
    <x v="2"/>
    <x v="8"/>
    <x v="10"/>
    <x v="4"/>
    <x v="10"/>
    <x v="5"/>
    <x v="10"/>
  </r>
  <r>
    <x v="3"/>
    <x v="9"/>
    <x v="9"/>
    <x v="3"/>
    <x v="9"/>
    <x v="11"/>
    <x v="9"/>
  </r>
  <r>
    <x v="4"/>
    <x v="2"/>
    <x v="8"/>
    <x v="1"/>
    <x v="8"/>
    <x v="8"/>
    <x v="8"/>
  </r>
  <r>
    <x v="5"/>
    <x v="7"/>
    <x v="7"/>
    <x v="0"/>
    <x v="7"/>
    <x v="12"/>
    <x v="7"/>
  </r>
  <r>
    <x v="6"/>
    <x v="0"/>
    <x v="6"/>
    <x v="2"/>
    <x v="6"/>
    <x v="4"/>
    <x v="6"/>
  </r>
  <r>
    <x v="7"/>
    <x v="4"/>
    <x v="5"/>
    <x v="0"/>
    <x v="5"/>
    <x v="10"/>
    <x v="5"/>
  </r>
  <r>
    <x v="8"/>
    <x v="11"/>
    <x v="4"/>
    <x v="0"/>
    <x v="4"/>
    <x v="6"/>
    <x v="4"/>
  </r>
  <r>
    <x v="9"/>
    <x v="12"/>
    <x v="3"/>
    <x v="1"/>
    <x v="3"/>
    <x v="3"/>
    <x v="3"/>
  </r>
  <r>
    <x v="10"/>
    <x v="6"/>
    <x v="2"/>
    <x v="1"/>
    <x v="2"/>
    <x v="2"/>
    <x v="2"/>
  </r>
  <r>
    <x v="11"/>
    <x v="10"/>
    <x v="1"/>
    <x v="0"/>
    <x v="1"/>
    <x v="1"/>
    <x v="1"/>
  </r>
  <r>
    <x v="12"/>
    <x v="3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1"/>
    <x v="2"/>
    <x v="2"/>
    <x v="0"/>
    <x v="2"/>
    <x v="2"/>
  </r>
  <r>
    <x v="0"/>
    <x v="1"/>
    <x v="1"/>
    <x v="2"/>
    <x v="1"/>
    <x v="1"/>
  </r>
  <r>
    <x v="2"/>
    <x v="0"/>
    <x v="0"/>
    <x v="3"/>
    <x v="0"/>
    <x v="0"/>
  </r>
  <r>
    <x v="3"/>
    <x v="3"/>
    <x v="3"/>
    <x v="1"/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x v="1"/>
    <x v="2"/>
    <x v="1"/>
    <x v="2"/>
    <x v="3"/>
    <x v="2"/>
  </r>
  <r>
    <x v="0"/>
    <x v="1"/>
    <x v="2"/>
    <x v="1"/>
    <x v="0"/>
    <x v="1"/>
  </r>
  <r>
    <x v="2"/>
    <x v="0"/>
    <x v="0"/>
    <x v="0"/>
    <x v="1"/>
    <x v="0"/>
  </r>
  <r>
    <x v="3"/>
    <x v="3"/>
    <x v="3"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3" cacheId="2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6">
    <pivotField axis="axisRow" showAll="0">
      <items count="5">
        <item x="1"/>
        <item x="0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dataFields count="1">
    <dataField name="Soma de Total (R$)" fld="1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5" cacheId="0" applyNumberFormats="0" applyBorderFormats="0" applyFontFormats="0" applyPatternFormats="0" applyAlignmentFormats="0" applyWidthHeightFormats="0" dataCaption="Values" itemPrintTitles="1" indent="0" outline="1" outlineData="1">
  <location ref="A19:B30" firstHeaderRow="1" firstDataRow="1" firstDataCol="1"/>
  <pivotFields count="7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dataFields count="1">
    <dataField name="Soma de Total (R$)" fld="2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4" cacheId="1" applyNumberFormats="0" applyBorderFormats="0" applyFontFormats="0" applyPatternFormats="0" applyAlignmentFormats="0" applyWidthHeightFormats="0" dataCaption="Values" itemPrintTitles="1" indent="0" outline="1" outlineData="1">
  <location ref="F3:G7" firstHeaderRow="1" firstDataRow="1" firstDataCol="1"/>
  <pivotFields count="6">
    <pivotField axis="axisRow" showAll="0">
      <items count="5">
        <item h="1" x="3"/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dataFields count="1">
    <dataField name="Soma de Total (R$)" fld="1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b17" displayName="TblComb17" ref="A101:F106" totalsRowShown="0">
  <autoFilter ref="A101:F106" xr:uid="{00000000-0009-0000-0100-000001000000}"/>
  <tableColumns count="6">
    <tableColumn id="1" xr3:uid="{00000000-0010-0000-0000-000001000000}" name="Combustível"/>
    <tableColumn id="2" xr3:uid="{00000000-0010-0000-0000-000002000000}" name="Abastecimentos"/>
    <tableColumn id="3" xr3:uid="{00000000-0010-0000-0000-000003000000}" name="Total Litros"/>
    <tableColumn id="4" xr3:uid="{00000000-0010-0000-0000-000004000000}" name="Total (R$)"/>
    <tableColumn id="5" xr3:uid="{00000000-0010-0000-0000-000005000000}" name="% em Valor"/>
    <tableColumn id="6" xr3:uid="{00000000-0010-0000-0000-000006000000}" name="Preço Médio R$/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Mensal15" displayName="TblMensal15" ref="A22:F25" totalsRowShown="0">
  <autoFilter ref="A22:F25" xr:uid="{00000000-0009-0000-0100-000005000000}"/>
  <tableColumns count="6">
    <tableColumn id="1" xr3:uid="{00000000-0010-0000-0100-000001000000}" name="Mês"/>
    <tableColumn id="2" xr3:uid="{00000000-0010-0000-0100-000002000000}" name="Total (R$)"/>
    <tableColumn id="3" xr3:uid="{00000000-0010-0000-0100-000003000000}" name="Qtd Abast."/>
    <tableColumn id="4" xr3:uid="{00000000-0010-0000-0100-000004000000}" name="Total Litros"/>
    <tableColumn id="5" xr3:uid="{00000000-0010-0000-0100-000005000000}" name="Ticket Médio (R$)"/>
    <tableColumn id="6" xr3:uid="{00000000-0010-0000-0100-000006000000}" name="% do Tot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Placas16" displayName="TblPlacas16" ref="A52:H98" totalsRowShown="0">
  <autoFilter ref="A52:H98" xr:uid="{00000000-0009-0000-0100-000006000000}"/>
  <tableColumns count="8">
    <tableColumn id="1" xr3:uid="{00000000-0010-0000-0200-000001000000}" name="#"/>
    <tableColumn id="2" xr3:uid="{00000000-0010-0000-0200-000002000000}" name="Placa"/>
    <tableColumn id="3" xr3:uid="{00000000-0010-0000-0200-000003000000}" name="Total Gasto (R$)"/>
    <tableColumn id="4" xr3:uid="{00000000-0010-0000-0200-000004000000}" name="Qtd Abast."/>
    <tableColumn id="5" xr3:uid="{00000000-0010-0000-0200-000005000000}" name="Total Litros"/>
    <tableColumn id="6" xr3:uid="{00000000-0010-0000-0200-000006000000}" name="KM Rodado"/>
    <tableColumn id="7" xr3:uid="{00000000-0010-0000-0200-000007000000}" name="Litros/KM"/>
    <tableColumn id="8" xr3:uid="{00000000-0010-0000-0200-000008000000}" name="Ticket Médio (R$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Cruz" displayName="TblCruz" ref="A4:N532" totalsRowShown="0">
  <autoFilter ref="A4:N532" xr:uid="{00000000-0009-0000-0100-000003000000}"/>
  <tableColumns count="14">
    <tableColumn id="1" xr3:uid="{00000000-0010-0000-0300-000001000000}" name="Status"/>
    <tableColumn id="2" xr3:uid="{00000000-0010-0000-0300-000002000000}" name="Data SAP"/>
    <tableColumn id="3" xr3:uid="{00000000-0010-0000-0300-000003000000}" name="Data TMS"/>
    <tableColumn id="4" xr3:uid="{00000000-0010-0000-0300-000004000000}" name="Posto SAP"/>
    <tableColumn id="5" xr3:uid="{00000000-0010-0000-0300-000005000000}" name="Posto TMS"/>
    <tableColumn id="6" xr3:uid="{00000000-0010-0000-0300-000006000000}" name="Placa"/>
    <tableColumn id="7" xr3:uid="{00000000-0010-0000-0300-000007000000}" name="Combustível"/>
    <tableColumn id="8" xr3:uid="{00000000-0010-0000-0300-000008000000}" name="Litros"/>
    <tableColumn id="9" xr3:uid="{00000000-0010-0000-0300-000009000000}" name="Valor SAP (R$)"/>
    <tableColumn id="10" xr3:uid="{00000000-0010-0000-0300-00000A000000}" name="Valor TMS (R$)"/>
    <tableColumn id="11" xr3:uid="{00000000-0010-0000-0300-00000B000000}" name="Diferença (R$)"/>
    <tableColumn id="12" xr3:uid="{00000000-0010-0000-0300-00000C000000}" name="Motorista"/>
    <tableColumn id="13" xr3:uid="{00000000-0010-0000-0300-00000D000000}" name="NDoc SAP"/>
    <tableColumn id="14" xr3:uid="{00000000-0010-0000-0300-00000E000000}" name="NF / Observaçã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Div" displayName="TblDiv" ref="A3:M16" totalsRowShown="0">
  <autoFilter ref="A3:M16" xr:uid="{00000000-0009-0000-0100-000004000000}"/>
  <tableColumns count="13">
    <tableColumn id="1" xr3:uid="{00000000-0010-0000-0400-000001000000}" name="Status"/>
    <tableColumn id="2" xr3:uid="{00000000-0010-0000-0400-000002000000}" name="Data SAP"/>
    <tableColumn id="3" xr3:uid="{00000000-0010-0000-0400-000003000000}" name="Data TMS"/>
    <tableColumn id="4" xr3:uid="{00000000-0010-0000-0400-000004000000}" name="Posto SAP"/>
    <tableColumn id="5" xr3:uid="{00000000-0010-0000-0400-000005000000}" name="Posto TMS"/>
    <tableColumn id="6" xr3:uid="{00000000-0010-0000-0400-000006000000}" name="Placa"/>
    <tableColumn id="7" xr3:uid="{00000000-0010-0000-0400-000007000000}" name="Combustível"/>
    <tableColumn id="8" xr3:uid="{00000000-0010-0000-0400-000008000000}" name="Litros"/>
    <tableColumn id="9" xr3:uid="{00000000-0010-0000-0400-000009000000}" name="Valor SAP (R$)"/>
    <tableColumn id="10" xr3:uid="{00000000-0010-0000-0400-00000A000000}" name="Valor TMS (R$)"/>
    <tableColumn id="11" xr3:uid="{00000000-0010-0000-0400-00000B000000}" name="Diferença (R$)"/>
    <tableColumn id="12" xr3:uid="{00000000-0010-0000-0400-00000C000000}" name="Motorista"/>
    <tableColumn id="13" xr3:uid="{00000000-0010-0000-0400-00000D000000}" name="NDoc SAP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blConc" displayName="TblConc" ref="A3:M110" totalsRowShown="0">
  <autoFilter ref="A3:M110" xr:uid="{00000000-0009-0000-0100-000002000000}"/>
  <tableColumns count="13">
    <tableColumn id="1" xr3:uid="{00000000-0010-0000-0500-000001000000}" name="Status"/>
    <tableColumn id="2" xr3:uid="{00000000-0010-0000-0500-000002000000}" name="Data SAP"/>
    <tableColumn id="3" xr3:uid="{00000000-0010-0000-0500-000003000000}" name="Data TMS"/>
    <tableColumn id="4" xr3:uid="{00000000-0010-0000-0500-000004000000}" name="Posto SAP"/>
    <tableColumn id="5" xr3:uid="{00000000-0010-0000-0500-000005000000}" name="Posto TMS"/>
    <tableColumn id="6" xr3:uid="{00000000-0010-0000-0500-000006000000}" name="Placa"/>
    <tableColumn id="7" xr3:uid="{00000000-0010-0000-0500-000007000000}" name="Combustível"/>
    <tableColumn id="8" xr3:uid="{00000000-0010-0000-0500-000008000000}" name="Litros"/>
    <tableColumn id="9" xr3:uid="{00000000-0010-0000-0500-000009000000}" name="Valor SAP (R$)"/>
    <tableColumn id="10" xr3:uid="{00000000-0010-0000-0500-00000A000000}" name="Valor TMS (R$)"/>
    <tableColumn id="11" xr3:uid="{00000000-0010-0000-0500-00000B000000}" name="Diferença (R$)"/>
    <tableColumn id="12" xr3:uid="{00000000-0010-0000-0500-00000C000000}" name="Motorista"/>
    <tableColumn id="13" xr3:uid="{00000000-0010-0000-0500-00000D000000}" name="NDoc SAP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APsm" displayName="TblSAPsm" ref="A4:M236" totalsRowShown="0">
  <autoFilter ref="A4:M236" xr:uid="{00000000-0009-0000-0100-000007000000}"/>
  <tableColumns count="13">
    <tableColumn id="1" xr3:uid="{00000000-0010-0000-0600-000001000000}" name="Status"/>
    <tableColumn id="2" xr3:uid="{00000000-0010-0000-0600-000002000000}" name="Data SAP"/>
    <tableColumn id="3" xr3:uid="{00000000-0010-0000-0600-000003000000}" name="Data TMS"/>
    <tableColumn id="4" xr3:uid="{00000000-0010-0000-0600-000004000000}" name="Posto SAP"/>
    <tableColumn id="5" xr3:uid="{00000000-0010-0000-0600-000005000000}" name="Posto TMS"/>
    <tableColumn id="6" xr3:uid="{00000000-0010-0000-0600-000006000000}" name="Placa"/>
    <tableColumn id="7" xr3:uid="{00000000-0010-0000-0600-000007000000}" name="Combustível"/>
    <tableColumn id="8" xr3:uid="{00000000-0010-0000-0600-000008000000}" name="Litros"/>
    <tableColumn id="9" xr3:uid="{00000000-0010-0000-0600-000009000000}" name="Valor SAP (R$)"/>
    <tableColumn id="10" xr3:uid="{00000000-0010-0000-0600-00000A000000}" name="Valor TMS (R$)"/>
    <tableColumn id="11" xr3:uid="{00000000-0010-0000-0600-00000B000000}" name="Diferença (R$)"/>
    <tableColumn id="12" xr3:uid="{00000000-0010-0000-0600-00000C000000}" name="Motorista"/>
    <tableColumn id="13" xr3:uid="{00000000-0010-0000-0600-00000D000000}" name="NDoc SAP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MSsm" displayName="TblTMSsm" ref="A4:M180" totalsRowShown="0">
  <autoFilter ref="A4:M180" xr:uid="{00000000-0009-0000-0100-000008000000}"/>
  <tableColumns count="13">
    <tableColumn id="1" xr3:uid="{00000000-0010-0000-0700-000001000000}" name="Status"/>
    <tableColumn id="2" xr3:uid="{00000000-0010-0000-0700-000002000000}" name="Data SAP"/>
    <tableColumn id="3" xr3:uid="{00000000-0010-0000-0700-000003000000}" name="Data TMS"/>
    <tableColumn id="4" xr3:uid="{00000000-0010-0000-0700-000004000000}" name="Posto SAP"/>
    <tableColumn id="5" xr3:uid="{00000000-0010-0000-0700-000005000000}" name="Posto TMS"/>
    <tableColumn id="6" xr3:uid="{00000000-0010-0000-0700-000006000000}" name="Placa"/>
    <tableColumn id="7" xr3:uid="{00000000-0010-0000-0700-000007000000}" name="Combustível"/>
    <tableColumn id="8" xr3:uid="{00000000-0010-0000-0700-000008000000}" name="Litros"/>
    <tableColumn id="9" xr3:uid="{00000000-0010-0000-0700-000009000000}" name="Valor SAP (R$)"/>
    <tableColumn id="10" xr3:uid="{00000000-0010-0000-0700-00000A000000}" name="Valor TMS (R$)"/>
    <tableColumn id="11" xr3:uid="{00000000-0010-0000-0700-00000B000000}" name="Diferença (R$)"/>
    <tableColumn id="12" xr3:uid="{00000000-0010-0000-0700-00000C000000}" name="Motorista"/>
    <tableColumn id="13" xr3:uid="{00000000-0010-0000-0700-00000D000000}" name="NDoc SA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B9B8"/>
  </sheetPr>
  <dimension ref="A1:N44"/>
  <sheetViews>
    <sheetView zoomScale="85" zoomScaleNormal="85" workbookViewId="0">
      <selection activeCell="B49" sqref="B49"/>
    </sheetView>
  </sheetViews>
  <sheetFormatPr defaultColWidth="22.140625" defaultRowHeight="15" x14ac:dyDescent="0.25"/>
  <cols>
    <col min="1" max="1" width="18" style="1" customWidth="1"/>
    <col min="2" max="2" width="23.42578125" style="1" customWidth="1"/>
    <col min="3" max="3" width="19" style="1" customWidth="1"/>
    <col min="4" max="4" width="19.42578125" style="1" customWidth="1"/>
    <col min="5" max="5" width="21.42578125" style="1" customWidth="1"/>
    <col min="6" max="6" width="18" style="1" customWidth="1"/>
    <col min="7" max="7" width="17.7109375" style="1" customWidth="1"/>
    <col min="8" max="10" width="21.42578125" style="1" customWidth="1"/>
    <col min="11" max="11" width="18" style="1" customWidth="1"/>
    <col min="12" max="12" width="17.7109375" style="1" customWidth="1"/>
    <col min="13" max="13" width="19" style="1" customWidth="1"/>
    <col min="14" max="14" width="21.42578125" style="1" customWidth="1"/>
    <col min="15" max="15" width="11.85546875" style="1" customWidth="1"/>
    <col min="16" max="17" width="12.85546875" style="1" customWidth="1"/>
    <col min="18" max="16384" width="22.140625" style="1"/>
  </cols>
  <sheetData>
    <row r="1" spans="1:14" s="2" customFormat="1" ht="49.5" customHeight="1" x14ac:dyDescent="0.25">
      <c r="A1" s="86" t="e" vm="1">
        <v>#VALUE!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24" customHeight="1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x14ac:dyDescent="0.25">
      <c r="A3" s="3" t="s">
        <v>1</v>
      </c>
      <c r="B3" s="4" t="s">
        <v>2</v>
      </c>
      <c r="F3" s="3" t="s">
        <v>1</v>
      </c>
      <c r="G3" s="4" t="s">
        <v>2</v>
      </c>
    </row>
    <row r="4" spans="1:14" x14ac:dyDescent="0.25">
      <c r="A4" s="5" t="s">
        <v>3</v>
      </c>
      <c r="B4" s="6">
        <v>196464.95</v>
      </c>
      <c r="F4" s="5" t="s">
        <v>3</v>
      </c>
      <c r="G4" s="6">
        <v>360728.28</v>
      </c>
      <c r="K4" s="1" t="s">
        <v>4</v>
      </c>
      <c r="L4" s="1" t="s">
        <v>2</v>
      </c>
    </row>
    <row r="5" spans="1:14" x14ac:dyDescent="0.25">
      <c r="A5" s="7" t="s">
        <v>5</v>
      </c>
      <c r="B5" s="8">
        <v>161452.74</v>
      </c>
      <c r="F5" s="7" t="s">
        <v>5</v>
      </c>
      <c r="G5" s="8">
        <v>319489.03999999998</v>
      </c>
      <c r="K5" s="9" t="s">
        <v>6</v>
      </c>
      <c r="L5" s="10">
        <v>4001.64</v>
      </c>
    </row>
    <row r="6" spans="1:14" x14ac:dyDescent="0.25">
      <c r="A6" s="7" t="s">
        <v>7</v>
      </c>
      <c r="B6" s="11">
        <v>47807.99</v>
      </c>
      <c r="F6" s="7" t="s">
        <v>7</v>
      </c>
      <c r="G6" s="11">
        <v>119547.84</v>
      </c>
      <c r="K6" s="12">
        <v>3.50011467141597E-2</v>
      </c>
      <c r="L6" s="10">
        <v>4001.64</v>
      </c>
    </row>
    <row r="7" spans="1:14" x14ac:dyDescent="0.25">
      <c r="A7" s="13" t="s">
        <v>8</v>
      </c>
      <c r="B7" s="14">
        <v>405725.68</v>
      </c>
      <c r="F7" s="13" t="s">
        <v>8</v>
      </c>
      <c r="G7" s="14">
        <v>799765.16</v>
      </c>
      <c r="K7" s="9" t="s">
        <v>9</v>
      </c>
      <c r="L7" s="10">
        <v>354.64</v>
      </c>
    </row>
    <row r="8" spans="1:14" x14ac:dyDescent="0.25">
      <c r="K8" s="12">
        <v>3.1019298764280601E-3</v>
      </c>
      <c r="L8" s="10">
        <v>354.64</v>
      </c>
    </row>
    <row r="9" spans="1:14" x14ac:dyDescent="0.25">
      <c r="K9" s="9" t="s">
        <v>10</v>
      </c>
      <c r="L9" s="10">
        <v>292267.42</v>
      </c>
    </row>
    <row r="10" spans="1:14" x14ac:dyDescent="0.25">
      <c r="K10" s="12">
        <v>2.5563755978021399</v>
      </c>
      <c r="L10" s="10">
        <v>292267.42</v>
      </c>
    </row>
    <row r="11" spans="1:14" x14ac:dyDescent="0.25">
      <c r="K11" s="9" t="s">
        <v>11</v>
      </c>
      <c r="L11" s="10">
        <v>89300.56</v>
      </c>
    </row>
    <row r="12" spans="1:14" x14ac:dyDescent="0.25">
      <c r="K12" s="12">
        <v>0.78108525559936004</v>
      </c>
      <c r="L12" s="10">
        <v>89300.56</v>
      </c>
    </row>
    <row r="13" spans="1:14" x14ac:dyDescent="0.25">
      <c r="K13" s="9" t="s">
        <v>12</v>
      </c>
      <c r="L13" s="10">
        <v>19801.419999999998</v>
      </c>
    </row>
    <row r="14" spans="1:14" x14ac:dyDescent="0.25">
      <c r="K14" s="12">
        <v>0.17319709083493201</v>
      </c>
      <c r="L14" s="10">
        <v>19801.419999999998</v>
      </c>
    </row>
    <row r="15" spans="1:14" x14ac:dyDescent="0.25">
      <c r="K15" s="9" t="s">
        <v>13</v>
      </c>
      <c r="L15" s="10">
        <v>405725.68</v>
      </c>
    </row>
    <row r="19" spans="1:8" x14ac:dyDescent="0.25">
      <c r="A19" s="3" t="s">
        <v>14</v>
      </c>
      <c r="B19" s="4" t="s">
        <v>2</v>
      </c>
    </row>
    <row r="20" spans="1:8" x14ac:dyDescent="0.25">
      <c r="A20" s="5" t="s">
        <v>15</v>
      </c>
      <c r="B20" s="6">
        <v>213901.4</v>
      </c>
    </row>
    <row r="21" spans="1:8" x14ac:dyDescent="0.25">
      <c r="A21" s="7" t="s">
        <v>16</v>
      </c>
      <c r="B21" s="8">
        <v>119523.24</v>
      </c>
    </row>
    <row r="22" spans="1:8" x14ac:dyDescent="0.25">
      <c r="A22" s="7" t="s">
        <v>17</v>
      </c>
      <c r="B22" s="8">
        <v>33963.67</v>
      </c>
    </row>
    <row r="23" spans="1:8" x14ac:dyDescent="0.25">
      <c r="A23" s="7" t="s">
        <v>18</v>
      </c>
      <c r="B23" s="8">
        <v>26126.76</v>
      </c>
    </row>
    <row r="24" spans="1:8" x14ac:dyDescent="0.25">
      <c r="A24" s="7" t="s">
        <v>19</v>
      </c>
      <c r="B24" s="8">
        <v>3216.25</v>
      </c>
    </row>
    <row r="25" spans="1:8" x14ac:dyDescent="0.25">
      <c r="A25" s="7" t="s">
        <v>20</v>
      </c>
      <c r="B25" s="8">
        <v>2404</v>
      </c>
    </row>
    <row r="26" spans="1:8" x14ac:dyDescent="0.25">
      <c r="A26" s="7" t="s">
        <v>21</v>
      </c>
      <c r="B26" s="8">
        <v>2119.1999999999998</v>
      </c>
    </row>
    <row r="27" spans="1:8" x14ac:dyDescent="0.25">
      <c r="A27" s="7" t="s">
        <v>22</v>
      </c>
      <c r="B27" s="8">
        <v>1965</v>
      </c>
    </row>
    <row r="28" spans="1:8" x14ac:dyDescent="0.25">
      <c r="A28" s="7" t="s">
        <v>23</v>
      </c>
      <c r="B28" s="8">
        <v>1144</v>
      </c>
    </row>
    <row r="29" spans="1:8" x14ac:dyDescent="0.25">
      <c r="A29" s="7" t="s">
        <v>24</v>
      </c>
      <c r="B29" s="11">
        <v>529.34</v>
      </c>
    </row>
    <row r="30" spans="1:8" x14ac:dyDescent="0.25">
      <c r="A30" s="13" t="s">
        <v>8</v>
      </c>
      <c r="B30" s="14">
        <v>404892.86</v>
      </c>
    </row>
    <row r="31" spans="1:8" x14ac:dyDescent="0.25">
      <c r="H31" s="1" t="s">
        <v>25</v>
      </c>
    </row>
    <row r="33" spans="1:3" x14ac:dyDescent="0.25">
      <c r="A33" s="1" t="s">
        <v>4</v>
      </c>
      <c r="B33" s="1" t="s">
        <v>26</v>
      </c>
      <c r="C33" s="1" t="s">
        <v>27</v>
      </c>
    </row>
    <row r="34" spans="1:3" x14ac:dyDescent="0.25">
      <c r="A34" s="9" t="s">
        <v>28</v>
      </c>
      <c r="B34" s="10">
        <v>24259.66</v>
      </c>
      <c r="C34" s="15">
        <v>4063</v>
      </c>
    </row>
    <row r="35" spans="1:3" x14ac:dyDescent="0.25">
      <c r="A35" s="9" t="s">
        <v>29</v>
      </c>
      <c r="B35" s="10">
        <v>21344.03</v>
      </c>
      <c r="C35" s="15">
        <v>3807.4</v>
      </c>
    </row>
    <row r="36" spans="1:3" x14ac:dyDescent="0.25">
      <c r="A36" s="9" t="s">
        <v>30</v>
      </c>
      <c r="B36" s="10">
        <v>21118.14</v>
      </c>
      <c r="C36" s="15">
        <v>3622.6</v>
      </c>
    </row>
    <row r="37" spans="1:3" x14ac:dyDescent="0.25">
      <c r="A37" s="9" t="s">
        <v>31</v>
      </c>
      <c r="B37" s="10">
        <v>20339.169999999998</v>
      </c>
      <c r="C37" s="15">
        <v>3656.2</v>
      </c>
    </row>
    <row r="38" spans="1:3" x14ac:dyDescent="0.25">
      <c r="A38" s="9" t="s">
        <v>32</v>
      </c>
      <c r="B38" s="10">
        <v>19688.009999999998</v>
      </c>
      <c r="C38" s="15">
        <v>3556.2</v>
      </c>
    </row>
    <row r="39" spans="1:3" x14ac:dyDescent="0.25">
      <c r="A39" s="9" t="s">
        <v>33</v>
      </c>
      <c r="B39" s="10">
        <v>19638.07</v>
      </c>
      <c r="C39" s="15">
        <v>3514.4</v>
      </c>
    </row>
    <row r="40" spans="1:3" x14ac:dyDescent="0.25">
      <c r="A40" s="9" t="s">
        <v>34</v>
      </c>
      <c r="B40" s="10">
        <v>19144.05</v>
      </c>
      <c r="C40" s="15">
        <v>3230.6</v>
      </c>
    </row>
    <row r="41" spans="1:3" x14ac:dyDescent="0.25">
      <c r="A41" s="9" t="s">
        <v>35</v>
      </c>
      <c r="B41" s="10">
        <v>18276.990000000002</v>
      </c>
      <c r="C41" s="15">
        <v>3261.3</v>
      </c>
    </row>
    <row r="42" spans="1:3" x14ac:dyDescent="0.25">
      <c r="A42" s="9" t="s">
        <v>36</v>
      </c>
      <c r="B42" s="10">
        <v>17584.39</v>
      </c>
      <c r="C42" s="15">
        <v>3086.2</v>
      </c>
    </row>
    <row r="43" spans="1:3" x14ac:dyDescent="0.25">
      <c r="A43" s="9" t="s">
        <v>37</v>
      </c>
      <c r="B43" s="10">
        <v>16833.48</v>
      </c>
      <c r="C43" s="15">
        <v>2967.2</v>
      </c>
    </row>
    <row r="44" spans="1:3" x14ac:dyDescent="0.25">
      <c r="A44" s="9" t="s">
        <v>13</v>
      </c>
      <c r="B44" s="10">
        <v>198225.99</v>
      </c>
      <c r="C44" s="15">
        <v>34765.1</v>
      </c>
    </row>
  </sheetData>
  <mergeCells count="1">
    <mergeCell ref="A2:N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C1DA"/>
  </sheetPr>
  <dimension ref="A1:M106"/>
  <sheetViews>
    <sheetView tabSelected="1" zoomScaleNormal="100" workbookViewId="0">
      <selection activeCell="B7" sqref="B7"/>
    </sheetView>
  </sheetViews>
  <sheetFormatPr defaultColWidth="9.140625" defaultRowHeight="15" x14ac:dyDescent="0.25"/>
  <cols>
    <col min="1" max="1" width="55.28515625" style="1" customWidth="1"/>
    <col min="2" max="2" width="15.42578125" style="1" customWidth="1"/>
    <col min="3" max="3" width="18.85546875" style="1" customWidth="1"/>
    <col min="4" max="4" width="19" style="1" customWidth="1"/>
    <col min="5" max="5" width="23.7109375" style="1" customWidth="1"/>
    <col min="6" max="6" width="16.28515625" style="1" customWidth="1"/>
    <col min="7" max="7" width="9.140625" style="1"/>
    <col min="8" max="8" width="13.7109375" style="1" customWidth="1"/>
    <col min="9" max="16384" width="9.140625" style="1"/>
  </cols>
  <sheetData>
    <row r="1" spans="1:13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16"/>
      <c r="K1" s="16"/>
      <c r="L1" s="16"/>
      <c r="M1" s="16"/>
    </row>
    <row r="2" spans="1:13" ht="18.7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8.75" customHeight="1" x14ac:dyDescent="0.25">
      <c r="A3" s="88" t="s">
        <v>38</v>
      </c>
      <c r="B3" s="8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18" t="s">
        <v>39</v>
      </c>
      <c r="B4" s="18" t="s">
        <v>40</v>
      </c>
    </row>
    <row r="5" spans="1:13" x14ac:dyDescent="0.25">
      <c r="A5" s="19" t="s">
        <v>41</v>
      </c>
      <c r="B5" s="20">
        <v>296</v>
      </c>
    </row>
    <row r="6" spans="1:13" x14ac:dyDescent="0.25">
      <c r="A6" s="19" t="s">
        <v>42</v>
      </c>
      <c r="B6" s="20">
        <v>352</v>
      </c>
    </row>
    <row r="7" spans="1:13" x14ac:dyDescent="0.25">
      <c r="A7" s="19" t="s">
        <v>43</v>
      </c>
      <c r="B7" s="21">
        <v>405725.68</v>
      </c>
    </row>
    <row r="8" spans="1:13" x14ac:dyDescent="0.25">
      <c r="A8" s="19" t="s">
        <v>44</v>
      </c>
      <c r="B8" s="21">
        <v>799765.16</v>
      </c>
    </row>
    <row r="9" spans="1:13" x14ac:dyDescent="0.25">
      <c r="A9" s="22" t="s">
        <v>45</v>
      </c>
      <c r="B9" s="23">
        <v>107</v>
      </c>
    </row>
    <row r="10" spans="1:13" x14ac:dyDescent="0.25">
      <c r="A10" s="22" t="s">
        <v>46</v>
      </c>
      <c r="B10" s="24">
        <v>141466.29999999999</v>
      </c>
    </row>
    <row r="11" spans="1:13" x14ac:dyDescent="0.25">
      <c r="A11" s="22" t="s">
        <v>47</v>
      </c>
      <c r="B11" s="23">
        <v>13</v>
      </c>
    </row>
    <row r="12" spans="1:13" x14ac:dyDescent="0.25">
      <c r="A12" s="22" t="s">
        <v>48</v>
      </c>
      <c r="B12" s="24">
        <v>24696.58</v>
      </c>
    </row>
    <row r="13" spans="1:13" x14ac:dyDescent="0.25">
      <c r="A13" s="22" t="s">
        <v>49</v>
      </c>
      <c r="B13" s="23">
        <v>232</v>
      </c>
    </row>
    <row r="14" spans="1:13" x14ac:dyDescent="0.25">
      <c r="A14" s="22" t="s">
        <v>50</v>
      </c>
      <c r="B14" s="24">
        <v>633602.28</v>
      </c>
    </row>
    <row r="15" spans="1:13" x14ac:dyDescent="0.25">
      <c r="A15" s="22" t="s">
        <v>51</v>
      </c>
      <c r="B15" s="23">
        <v>176</v>
      </c>
    </row>
    <row r="16" spans="1:13" x14ac:dyDescent="0.25">
      <c r="A16" s="22" t="s">
        <v>52</v>
      </c>
      <c r="B16" s="24">
        <v>239563.6</v>
      </c>
    </row>
    <row r="17" spans="1:13" x14ac:dyDescent="0.25">
      <c r="A17" s="25" t="s">
        <v>53</v>
      </c>
      <c r="B17" s="26">
        <v>69372.800000000003</v>
      </c>
    </row>
    <row r="18" spans="1:13" x14ac:dyDescent="0.25">
      <c r="A18" s="25" t="s">
        <v>54</v>
      </c>
      <c r="B18" s="27">
        <v>47</v>
      </c>
    </row>
    <row r="19" spans="1:13" x14ac:dyDescent="0.25">
      <c r="A19" s="25" t="s">
        <v>55</v>
      </c>
      <c r="B19" s="27">
        <v>13</v>
      </c>
    </row>
    <row r="21" spans="1:13" ht="18" customHeight="1" x14ac:dyDescent="0.25">
      <c r="A21" s="90" t="s">
        <v>56</v>
      </c>
      <c r="B21" s="90"/>
      <c r="C21" s="90"/>
      <c r="D21" s="90"/>
      <c r="E21" s="90"/>
      <c r="F21" s="90"/>
    </row>
    <row r="22" spans="1:13" x14ac:dyDescent="0.25">
      <c r="A22" s="18" t="s">
        <v>1</v>
      </c>
      <c r="B22" s="18" t="s">
        <v>57</v>
      </c>
      <c r="C22" s="18" t="s">
        <v>58</v>
      </c>
      <c r="D22" s="18" t="s">
        <v>59</v>
      </c>
      <c r="E22" s="18" t="s">
        <v>60</v>
      </c>
      <c r="F22" s="18" t="s">
        <v>61</v>
      </c>
    </row>
    <row r="23" spans="1:13" x14ac:dyDescent="0.25">
      <c r="A23" s="28" t="s">
        <v>3</v>
      </c>
      <c r="B23" s="29">
        <v>196464.95</v>
      </c>
      <c r="C23" s="30">
        <v>128</v>
      </c>
      <c r="D23" s="31">
        <v>33838.800000000003</v>
      </c>
      <c r="E23" s="29">
        <f>B23/C23</f>
        <v>1534.8824218750001</v>
      </c>
      <c r="F23" s="32">
        <f>B23/SUM($B$23:$B$25)</f>
        <v>0.48423099568161426</v>
      </c>
    </row>
    <row r="24" spans="1:13" x14ac:dyDescent="0.25">
      <c r="A24" s="33" t="s">
        <v>5</v>
      </c>
      <c r="B24" s="34">
        <v>161452.74</v>
      </c>
      <c r="C24" s="35">
        <v>132</v>
      </c>
      <c r="D24" s="36">
        <v>27770.799999999999</v>
      </c>
      <c r="E24" s="34">
        <f>B24/C24</f>
        <v>1223.1268181818182</v>
      </c>
      <c r="F24" s="37">
        <f>B24/SUM($B$23:$B$25)</f>
        <v>0.39793571853770754</v>
      </c>
    </row>
    <row r="25" spans="1:13" x14ac:dyDescent="0.25">
      <c r="A25" s="28" t="s">
        <v>7</v>
      </c>
      <c r="B25" s="29">
        <v>47807.99</v>
      </c>
      <c r="C25" s="30">
        <v>36</v>
      </c>
      <c r="D25" s="31">
        <v>7763.2</v>
      </c>
      <c r="E25" s="29">
        <f>B25/C25</f>
        <v>1327.9997222222221</v>
      </c>
      <c r="F25" s="32">
        <f>B25/SUM($B$23:$B$25)</f>
        <v>0.11783328578067821</v>
      </c>
    </row>
    <row r="26" spans="1:13" x14ac:dyDescent="0.25">
      <c r="A26" s="38" t="s">
        <v>62</v>
      </c>
      <c r="B26" s="39">
        <f>SUM(B23:B25)</f>
        <v>405725.68</v>
      </c>
      <c r="C26" s="40">
        <f>SUM(C23:C25)</f>
        <v>296</v>
      </c>
      <c r="D26" s="41">
        <f>SUM(D23:D25)</f>
        <v>69372.800000000003</v>
      </c>
      <c r="E26" s="39">
        <f>B26/C26</f>
        <v>1370.6948648648649</v>
      </c>
      <c r="F26" s="42" t="s">
        <v>63</v>
      </c>
    </row>
    <row r="27" spans="1:13" ht="18" customHeight="1" x14ac:dyDescent="0.25">
      <c r="G27" s="17"/>
      <c r="H27" s="17"/>
      <c r="I27" s="17"/>
      <c r="J27" s="17"/>
      <c r="K27" s="17"/>
      <c r="L27" s="17"/>
      <c r="M27" s="17"/>
    </row>
    <row r="28" spans="1:13" ht="18" customHeight="1" x14ac:dyDescent="0.25">
      <c r="A28" s="90" t="s">
        <v>64</v>
      </c>
      <c r="B28" s="90"/>
      <c r="C28" s="90"/>
      <c r="D28" s="90"/>
      <c r="E28" s="90"/>
      <c r="F28" s="90"/>
      <c r="G28" s="17"/>
      <c r="H28" s="17"/>
      <c r="I28" s="17"/>
      <c r="J28" s="17"/>
      <c r="K28" s="17"/>
      <c r="L28" s="17"/>
      <c r="M28" s="17"/>
    </row>
    <row r="29" spans="1:13" ht="18" customHeight="1" x14ac:dyDescent="0.25">
      <c r="A29" s="18" t="s">
        <v>1</v>
      </c>
      <c r="B29" s="18" t="s">
        <v>57</v>
      </c>
      <c r="C29" s="18" t="s">
        <v>65</v>
      </c>
      <c r="D29" s="18" t="s">
        <v>60</v>
      </c>
      <c r="E29" s="18" t="s">
        <v>61</v>
      </c>
      <c r="F29" s="18" t="s">
        <v>66</v>
      </c>
      <c r="G29" s="17"/>
      <c r="H29" s="17"/>
      <c r="I29" s="17"/>
      <c r="J29" s="17"/>
      <c r="K29" s="17"/>
      <c r="L29" s="17"/>
      <c r="M29" s="17"/>
    </row>
    <row r="30" spans="1:13" ht="18" customHeight="1" x14ac:dyDescent="0.25">
      <c r="A30" s="28" t="s">
        <v>3</v>
      </c>
      <c r="B30" s="29">
        <v>360728.28</v>
      </c>
      <c r="C30" s="30">
        <v>169</v>
      </c>
      <c r="D30" s="29">
        <f>B30/C30</f>
        <v>2134.4868639053257</v>
      </c>
      <c r="E30" s="32">
        <f>B30/$B$33</f>
        <v>0.45104275360031937</v>
      </c>
      <c r="F30" s="29">
        <f>B30-B23</f>
        <v>164263.33000000002</v>
      </c>
      <c r="G30" s="17"/>
      <c r="H30" s="17"/>
      <c r="I30" s="17"/>
      <c r="J30" s="17"/>
      <c r="K30" s="17"/>
      <c r="L30" s="17"/>
      <c r="M30" s="17"/>
    </row>
    <row r="31" spans="1:13" ht="18" customHeight="1" x14ac:dyDescent="0.25">
      <c r="A31" s="33" t="s">
        <v>5</v>
      </c>
      <c r="B31" s="34">
        <v>319489.03999999998</v>
      </c>
      <c r="C31" s="35">
        <v>139</v>
      </c>
      <c r="D31" s="34">
        <f>B31/C31</f>
        <v>2298.4823021582733</v>
      </c>
      <c r="E31" s="37">
        <f>B31/$B$33</f>
        <v>0.39947856693332323</v>
      </c>
      <c r="F31" s="34">
        <f>B31-B24</f>
        <v>158036.29999999999</v>
      </c>
      <c r="G31" s="17"/>
      <c r="H31" s="17"/>
      <c r="I31" s="17"/>
      <c r="J31" s="17"/>
      <c r="K31" s="17"/>
      <c r="L31" s="17"/>
      <c r="M31" s="17"/>
    </row>
    <row r="32" spans="1:13" ht="18" customHeight="1" x14ac:dyDescent="0.25">
      <c r="A32" s="28" t="s">
        <v>7</v>
      </c>
      <c r="B32" s="29">
        <v>119547.84</v>
      </c>
      <c r="C32" s="30">
        <v>44</v>
      </c>
      <c r="D32" s="29">
        <f>B32/C32</f>
        <v>2716.9963636363636</v>
      </c>
      <c r="E32" s="32">
        <f>B32/$B$33</f>
        <v>0.14947867946635734</v>
      </c>
      <c r="F32" s="29">
        <f>B32-B25</f>
        <v>71739.850000000006</v>
      </c>
      <c r="G32" s="17"/>
      <c r="H32" s="17"/>
      <c r="I32" s="17"/>
      <c r="J32" s="17"/>
      <c r="K32" s="17"/>
      <c r="L32" s="17"/>
      <c r="M32" s="17"/>
    </row>
    <row r="33" spans="1:13" ht="18" customHeight="1" x14ac:dyDescent="0.25">
      <c r="A33" s="38" t="s">
        <v>62</v>
      </c>
      <c r="B33" s="39">
        <f>SUM(B30:B32)</f>
        <v>799765.16</v>
      </c>
      <c r="C33" s="40">
        <f>SUM(C30:C32)</f>
        <v>352</v>
      </c>
      <c r="D33" s="39">
        <f>B33/C33</f>
        <v>2272.0601136363639</v>
      </c>
      <c r="E33" s="42">
        <f>B33/B33</f>
        <v>1</v>
      </c>
      <c r="F33" s="39">
        <f>B33-B26</f>
        <v>394039.48000000004</v>
      </c>
      <c r="G33" s="17"/>
      <c r="H33" s="17"/>
      <c r="I33" s="17"/>
      <c r="J33" s="17"/>
      <c r="K33" s="17"/>
      <c r="L33" s="17"/>
      <c r="M33" s="17"/>
    </row>
    <row r="34" spans="1:13" ht="18" customHeight="1" x14ac:dyDescent="0.25">
      <c r="G34" s="17"/>
      <c r="H34" s="17"/>
      <c r="I34" s="17"/>
      <c r="J34" s="17"/>
      <c r="K34" s="17"/>
      <c r="L34" s="17"/>
      <c r="M34" s="17"/>
    </row>
    <row r="35" spans="1:13" ht="18" customHeight="1" x14ac:dyDescent="0.25">
      <c r="A35" s="88" t="s">
        <v>67</v>
      </c>
      <c r="B35" s="88"/>
      <c r="C35" s="88"/>
      <c r="D35" s="88"/>
      <c r="E35" s="88"/>
      <c r="F35" s="88"/>
      <c r="G35" s="88"/>
    </row>
    <row r="36" spans="1:13" x14ac:dyDescent="0.25">
      <c r="A36" s="18" t="s">
        <v>68</v>
      </c>
      <c r="B36" s="18" t="s">
        <v>14</v>
      </c>
      <c r="C36" s="18" t="s">
        <v>57</v>
      </c>
      <c r="D36" s="18" t="s">
        <v>58</v>
      </c>
      <c r="E36" s="18" t="s">
        <v>59</v>
      </c>
      <c r="F36" s="18" t="s">
        <v>60</v>
      </c>
      <c r="G36" s="18" t="s">
        <v>61</v>
      </c>
    </row>
    <row r="37" spans="1:13" x14ac:dyDescent="0.25">
      <c r="A37" s="43">
        <v>1</v>
      </c>
      <c r="B37" s="28" t="s">
        <v>15</v>
      </c>
      <c r="C37" s="29">
        <v>213901.4</v>
      </c>
      <c r="D37" s="30">
        <v>165</v>
      </c>
      <c r="E37" s="31">
        <v>35616.800000000003</v>
      </c>
      <c r="F37" s="29">
        <f t="shared" ref="F37:F49" si="0">IFERROR(C37/D37,"")</f>
        <v>1296.3721212121211</v>
      </c>
      <c r="G37" s="32">
        <f t="shared" ref="G37:G49" si="1">C37/$B$7</f>
        <v>0.52720695421596186</v>
      </c>
    </row>
    <row r="38" spans="1:13" x14ac:dyDescent="0.25">
      <c r="A38" s="44">
        <v>2</v>
      </c>
      <c r="B38" s="33" t="s">
        <v>16</v>
      </c>
      <c r="C38" s="34">
        <v>119523.24</v>
      </c>
      <c r="D38" s="35">
        <v>66</v>
      </c>
      <c r="E38" s="36">
        <v>21554</v>
      </c>
      <c r="F38" s="34">
        <f t="shared" si="0"/>
        <v>1810.9581818181819</v>
      </c>
      <c r="G38" s="37">
        <f t="shared" si="1"/>
        <v>0.29459126176090211</v>
      </c>
    </row>
    <row r="39" spans="1:13" x14ac:dyDescent="0.25">
      <c r="A39" s="43">
        <v>3</v>
      </c>
      <c r="B39" s="28" t="s">
        <v>17</v>
      </c>
      <c r="C39" s="29">
        <v>33963.67</v>
      </c>
      <c r="D39" s="30">
        <v>35</v>
      </c>
      <c r="E39" s="31">
        <v>5698.6</v>
      </c>
      <c r="F39" s="29">
        <f t="shared" si="0"/>
        <v>970.39057142857143</v>
      </c>
      <c r="G39" s="32">
        <f t="shared" si="1"/>
        <v>8.3710920146834178E-2</v>
      </c>
    </row>
    <row r="40" spans="1:13" x14ac:dyDescent="0.25">
      <c r="A40" s="44">
        <v>4</v>
      </c>
      <c r="B40" s="33" t="s">
        <v>18</v>
      </c>
      <c r="C40" s="34">
        <v>26126.76</v>
      </c>
      <c r="D40" s="35">
        <v>11</v>
      </c>
      <c r="E40" s="36">
        <v>4539.8</v>
      </c>
      <c r="F40" s="34">
        <f t="shared" si="0"/>
        <v>2375.16</v>
      </c>
      <c r="G40" s="37">
        <f t="shared" si="1"/>
        <v>6.439513515634504E-2</v>
      </c>
    </row>
    <row r="41" spans="1:13" x14ac:dyDescent="0.25">
      <c r="A41" s="43">
        <v>5</v>
      </c>
      <c r="B41" s="28" t="s">
        <v>19</v>
      </c>
      <c r="C41" s="29">
        <v>3216.25</v>
      </c>
      <c r="D41" s="30">
        <v>2</v>
      </c>
      <c r="E41" s="31">
        <v>549.5</v>
      </c>
      <c r="F41" s="29">
        <f t="shared" si="0"/>
        <v>1608.125</v>
      </c>
      <c r="G41" s="32">
        <f t="shared" si="1"/>
        <v>7.927154130347381E-3</v>
      </c>
    </row>
    <row r="42" spans="1:13" x14ac:dyDescent="0.25">
      <c r="A42" s="44">
        <v>6</v>
      </c>
      <c r="B42" s="33" t="s">
        <v>20</v>
      </c>
      <c r="C42" s="34">
        <v>2404</v>
      </c>
      <c r="D42" s="35">
        <v>1</v>
      </c>
      <c r="E42" s="36">
        <v>400</v>
      </c>
      <c r="F42" s="34">
        <f t="shared" si="0"/>
        <v>2404</v>
      </c>
      <c r="G42" s="37">
        <f t="shared" si="1"/>
        <v>5.9251857067563482E-3</v>
      </c>
    </row>
    <row r="43" spans="1:13" x14ac:dyDescent="0.25">
      <c r="A43" s="43">
        <v>7</v>
      </c>
      <c r="B43" s="28" t="s">
        <v>21</v>
      </c>
      <c r="C43" s="29">
        <v>2119.1999999999998</v>
      </c>
      <c r="D43" s="30">
        <v>8</v>
      </c>
      <c r="E43" s="31">
        <v>303.60000000000002</v>
      </c>
      <c r="F43" s="29">
        <f t="shared" si="0"/>
        <v>264.89999999999998</v>
      </c>
      <c r="G43" s="32">
        <f t="shared" si="1"/>
        <v>5.2232335897496058E-3</v>
      </c>
    </row>
    <row r="44" spans="1:13" x14ac:dyDescent="0.25">
      <c r="A44" s="44">
        <v>8</v>
      </c>
      <c r="B44" s="33" t="s">
        <v>22</v>
      </c>
      <c r="C44" s="34">
        <v>1965</v>
      </c>
      <c r="D44" s="35">
        <v>1</v>
      </c>
      <c r="E44" s="36">
        <v>300</v>
      </c>
      <c r="F44" s="34">
        <f t="shared" si="0"/>
        <v>1965</v>
      </c>
      <c r="G44" s="37">
        <f t="shared" si="1"/>
        <v>4.8431738410050851E-3</v>
      </c>
    </row>
    <row r="45" spans="1:13" x14ac:dyDescent="0.25">
      <c r="A45" s="43">
        <v>9</v>
      </c>
      <c r="B45" s="28" t="s">
        <v>23</v>
      </c>
      <c r="C45" s="29">
        <v>1144</v>
      </c>
      <c r="D45" s="30">
        <v>1</v>
      </c>
      <c r="E45" s="31">
        <v>200</v>
      </c>
      <c r="F45" s="29">
        <f t="shared" si="0"/>
        <v>1144</v>
      </c>
      <c r="G45" s="32">
        <f t="shared" si="1"/>
        <v>2.8196391216843853E-3</v>
      </c>
    </row>
    <row r="46" spans="1:13" x14ac:dyDescent="0.25">
      <c r="A46" s="44">
        <v>10</v>
      </c>
      <c r="B46" s="33" t="s">
        <v>24</v>
      </c>
      <c r="C46" s="34">
        <v>529.34</v>
      </c>
      <c r="D46" s="35">
        <v>2</v>
      </c>
      <c r="E46" s="36">
        <v>82.8</v>
      </c>
      <c r="F46" s="34">
        <f t="shared" si="0"/>
        <v>264.67</v>
      </c>
      <c r="G46" s="37">
        <f t="shared" si="1"/>
        <v>1.3046746264618991E-3</v>
      </c>
    </row>
    <row r="47" spans="1:13" x14ac:dyDescent="0.25">
      <c r="A47" s="43">
        <v>11</v>
      </c>
      <c r="B47" s="28" t="s">
        <v>69</v>
      </c>
      <c r="C47" s="29">
        <v>438.3</v>
      </c>
      <c r="D47" s="30">
        <v>2</v>
      </c>
      <c r="E47" s="31">
        <v>67.599999999999994</v>
      </c>
      <c r="F47" s="29">
        <f t="shared" si="0"/>
        <v>219.15</v>
      </c>
      <c r="G47" s="32">
        <f t="shared" si="1"/>
        <v>1.08028656209289E-3</v>
      </c>
    </row>
    <row r="48" spans="1:13" x14ac:dyDescent="0.25">
      <c r="A48" s="44">
        <v>12</v>
      </c>
      <c r="B48" s="33" t="s">
        <v>70</v>
      </c>
      <c r="C48" s="34">
        <v>212.15</v>
      </c>
      <c r="D48" s="35">
        <v>1</v>
      </c>
      <c r="E48" s="36">
        <v>31.9</v>
      </c>
      <c r="F48" s="34">
        <f t="shared" si="0"/>
        <v>212.15</v>
      </c>
      <c r="G48" s="37">
        <f t="shared" si="1"/>
        <v>5.2289024446271182E-4</v>
      </c>
    </row>
    <row r="49" spans="1:13" x14ac:dyDescent="0.25">
      <c r="A49" s="43">
        <v>13</v>
      </c>
      <c r="B49" s="28" t="s">
        <v>71</v>
      </c>
      <c r="C49" s="29">
        <v>182.37</v>
      </c>
      <c r="D49" s="30">
        <v>1</v>
      </c>
      <c r="E49" s="31">
        <v>28.1</v>
      </c>
      <c r="F49" s="29">
        <f t="shared" si="0"/>
        <v>182.37</v>
      </c>
      <c r="G49" s="32">
        <f t="shared" si="1"/>
        <v>4.4949089739648723E-4</v>
      </c>
    </row>
    <row r="51" spans="1:13" ht="18" customHeight="1" x14ac:dyDescent="0.25">
      <c r="A51" s="88" t="s">
        <v>72</v>
      </c>
      <c r="B51" s="88"/>
      <c r="C51" s="88"/>
      <c r="D51" s="88"/>
      <c r="E51" s="88"/>
      <c r="F51" s="88"/>
      <c r="G51" s="88"/>
      <c r="H51" s="88"/>
      <c r="I51" s="17"/>
      <c r="J51" s="17"/>
      <c r="K51" s="17"/>
      <c r="L51" s="17"/>
      <c r="M51" s="17"/>
    </row>
    <row r="52" spans="1:13" x14ac:dyDescent="0.25">
      <c r="A52" s="18" t="s">
        <v>68</v>
      </c>
      <c r="B52" s="18" t="s">
        <v>73</v>
      </c>
      <c r="C52" s="18" t="s">
        <v>74</v>
      </c>
      <c r="D52" s="18" t="s">
        <v>58</v>
      </c>
      <c r="E52" s="18" t="s">
        <v>59</v>
      </c>
      <c r="F52" s="18" t="s">
        <v>75</v>
      </c>
      <c r="G52" s="18" t="s">
        <v>76</v>
      </c>
      <c r="H52" s="18" t="s">
        <v>60</v>
      </c>
    </row>
    <row r="53" spans="1:13" x14ac:dyDescent="0.25">
      <c r="A53" s="43">
        <v>1</v>
      </c>
      <c r="B53" s="28" t="s">
        <v>28</v>
      </c>
      <c r="C53" s="29">
        <v>24259.66</v>
      </c>
      <c r="D53" s="30">
        <v>18</v>
      </c>
      <c r="E53" s="31">
        <v>4063</v>
      </c>
      <c r="F53" s="30">
        <v>10118</v>
      </c>
      <c r="G53" s="45">
        <f t="shared" ref="G53:G98" si="2">IFERROR(E53/F53,"")</f>
        <v>0.40156157343348486</v>
      </c>
      <c r="H53" s="29">
        <f t="shared" ref="H53:H98" si="3">C53/D53</f>
        <v>1347.7588888888888</v>
      </c>
    </row>
    <row r="54" spans="1:13" x14ac:dyDescent="0.25">
      <c r="A54" s="44">
        <v>2</v>
      </c>
      <c r="B54" s="33" t="s">
        <v>29</v>
      </c>
      <c r="C54" s="34">
        <v>21344.03</v>
      </c>
      <c r="D54" s="35">
        <v>11</v>
      </c>
      <c r="E54" s="36">
        <v>3807.4</v>
      </c>
      <c r="F54" s="35">
        <v>4925</v>
      </c>
      <c r="G54" s="46">
        <f t="shared" si="2"/>
        <v>0.77307614213197973</v>
      </c>
      <c r="H54" s="34">
        <f t="shared" si="3"/>
        <v>1940.3663636363635</v>
      </c>
    </row>
    <row r="55" spans="1:13" x14ac:dyDescent="0.25">
      <c r="A55" s="43">
        <v>3</v>
      </c>
      <c r="B55" s="28" t="s">
        <v>30</v>
      </c>
      <c r="C55" s="29">
        <v>21118.14</v>
      </c>
      <c r="D55" s="30">
        <v>11</v>
      </c>
      <c r="E55" s="31">
        <v>3622.6</v>
      </c>
      <c r="F55" s="30">
        <v>0</v>
      </c>
      <c r="G55" s="45" t="str">
        <f t="shared" si="2"/>
        <v/>
      </c>
      <c r="H55" s="29">
        <f t="shared" si="3"/>
        <v>1919.830909090909</v>
      </c>
    </row>
    <row r="56" spans="1:13" x14ac:dyDescent="0.25">
      <c r="A56" s="44">
        <v>4</v>
      </c>
      <c r="B56" s="33" t="s">
        <v>31</v>
      </c>
      <c r="C56" s="34">
        <v>20339.169999999998</v>
      </c>
      <c r="D56" s="35">
        <v>12</v>
      </c>
      <c r="E56" s="36">
        <v>3656.2</v>
      </c>
      <c r="F56" s="35">
        <v>5507</v>
      </c>
      <c r="G56" s="46">
        <f t="shared" si="2"/>
        <v>0.66391864899219177</v>
      </c>
      <c r="H56" s="34">
        <f t="shared" si="3"/>
        <v>1694.9308333333331</v>
      </c>
    </row>
    <row r="57" spans="1:13" x14ac:dyDescent="0.25">
      <c r="A57" s="43">
        <v>5</v>
      </c>
      <c r="B57" s="28" t="s">
        <v>32</v>
      </c>
      <c r="C57" s="29">
        <v>19688.009999999998</v>
      </c>
      <c r="D57" s="30">
        <v>12</v>
      </c>
      <c r="E57" s="31">
        <v>3556.2</v>
      </c>
      <c r="F57" s="30">
        <v>5861</v>
      </c>
      <c r="G57" s="45">
        <f t="shared" si="2"/>
        <v>0.60675652619006992</v>
      </c>
      <c r="H57" s="29">
        <f t="shared" si="3"/>
        <v>1640.6674999999998</v>
      </c>
    </row>
    <row r="58" spans="1:13" x14ac:dyDescent="0.25">
      <c r="A58" s="44">
        <v>6</v>
      </c>
      <c r="B58" s="33" t="s">
        <v>33</v>
      </c>
      <c r="C58" s="34">
        <v>19638.07</v>
      </c>
      <c r="D58" s="35">
        <v>11</v>
      </c>
      <c r="E58" s="36">
        <v>3514.4</v>
      </c>
      <c r="F58" s="35">
        <v>7452</v>
      </c>
      <c r="G58" s="46">
        <f t="shared" si="2"/>
        <v>0.47160493827160493</v>
      </c>
      <c r="H58" s="34">
        <f t="shared" si="3"/>
        <v>1785.2790909090909</v>
      </c>
    </row>
    <row r="59" spans="1:13" x14ac:dyDescent="0.25">
      <c r="A59" s="43">
        <v>7</v>
      </c>
      <c r="B59" s="28" t="s">
        <v>34</v>
      </c>
      <c r="C59" s="29">
        <v>19144.05</v>
      </c>
      <c r="D59" s="30">
        <v>8</v>
      </c>
      <c r="E59" s="31">
        <v>3230.6</v>
      </c>
      <c r="F59" s="30">
        <v>4490</v>
      </c>
      <c r="G59" s="45">
        <f t="shared" si="2"/>
        <v>0.7195100222717149</v>
      </c>
      <c r="H59" s="29">
        <f t="shared" si="3"/>
        <v>2393.0062499999999</v>
      </c>
    </row>
    <row r="60" spans="1:13" x14ac:dyDescent="0.25">
      <c r="A60" s="44">
        <v>8</v>
      </c>
      <c r="B60" s="33" t="s">
        <v>35</v>
      </c>
      <c r="C60" s="34">
        <v>18276.990000000002</v>
      </c>
      <c r="D60" s="35">
        <v>12</v>
      </c>
      <c r="E60" s="36">
        <v>3261.3</v>
      </c>
      <c r="F60" s="35">
        <v>5458</v>
      </c>
      <c r="G60" s="46">
        <f t="shared" si="2"/>
        <v>0.59752656650787839</v>
      </c>
      <c r="H60" s="34">
        <f t="shared" si="3"/>
        <v>1523.0825000000002</v>
      </c>
    </row>
    <row r="61" spans="1:13" x14ac:dyDescent="0.25">
      <c r="A61" s="43">
        <v>9</v>
      </c>
      <c r="B61" s="28" t="s">
        <v>36</v>
      </c>
      <c r="C61" s="29">
        <v>17584.39</v>
      </c>
      <c r="D61" s="30">
        <v>8</v>
      </c>
      <c r="E61" s="31">
        <v>3086.2</v>
      </c>
      <c r="F61" s="30">
        <v>4788</v>
      </c>
      <c r="G61" s="45">
        <f t="shared" si="2"/>
        <v>0.64456975772765246</v>
      </c>
      <c r="H61" s="29">
        <f t="shared" si="3"/>
        <v>2198.0487499999999</v>
      </c>
    </row>
    <row r="62" spans="1:13" x14ac:dyDescent="0.25">
      <c r="A62" s="44">
        <v>10</v>
      </c>
      <c r="B62" s="33" t="s">
        <v>37</v>
      </c>
      <c r="C62" s="34">
        <v>16833.48</v>
      </c>
      <c r="D62" s="35">
        <v>6</v>
      </c>
      <c r="E62" s="36">
        <v>2967.2</v>
      </c>
      <c r="F62" s="35">
        <v>0</v>
      </c>
      <c r="G62" s="46" t="str">
        <f t="shared" si="2"/>
        <v/>
      </c>
      <c r="H62" s="34">
        <f t="shared" si="3"/>
        <v>2805.58</v>
      </c>
    </row>
    <row r="63" spans="1:13" x14ac:dyDescent="0.25">
      <c r="A63" s="43">
        <v>11</v>
      </c>
      <c r="B63" s="28" t="s">
        <v>77</v>
      </c>
      <c r="C63" s="29">
        <v>16546.990000000002</v>
      </c>
      <c r="D63" s="30">
        <v>6</v>
      </c>
      <c r="E63" s="31">
        <v>2722.4</v>
      </c>
      <c r="F63" s="30">
        <v>5709</v>
      </c>
      <c r="G63" s="45">
        <f t="shared" si="2"/>
        <v>0.47686109651427572</v>
      </c>
      <c r="H63" s="29">
        <f t="shared" si="3"/>
        <v>2757.8316666666669</v>
      </c>
    </row>
    <row r="64" spans="1:13" x14ac:dyDescent="0.25">
      <c r="A64" s="44">
        <v>12</v>
      </c>
      <c r="B64" s="33" t="s">
        <v>78</v>
      </c>
      <c r="C64" s="34">
        <v>14174.11</v>
      </c>
      <c r="D64" s="35">
        <v>6</v>
      </c>
      <c r="E64" s="36">
        <v>2406.5</v>
      </c>
      <c r="F64" s="35">
        <v>4600</v>
      </c>
      <c r="G64" s="46">
        <f t="shared" si="2"/>
        <v>0.52315217391304347</v>
      </c>
      <c r="H64" s="34">
        <f t="shared" si="3"/>
        <v>2362.3516666666669</v>
      </c>
    </row>
    <row r="65" spans="1:8" x14ac:dyDescent="0.25">
      <c r="A65" s="43">
        <v>13</v>
      </c>
      <c r="B65" s="28" t="s">
        <v>79</v>
      </c>
      <c r="C65" s="29">
        <v>13218.8</v>
      </c>
      <c r="D65" s="30">
        <v>5</v>
      </c>
      <c r="E65" s="31">
        <v>2244.3000000000002</v>
      </c>
      <c r="F65" s="30">
        <v>1711</v>
      </c>
      <c r="G65" s="45">
        <f t="shared" si="2"/>
        <v>1.311689070718878</v>
      </c>
      <c r="H65" s="29">
        <f t="shared" si="3"/>
        <v>2643.7599999999998</v>
      </c>
    </row>
    <row r="66" spans="1:8" x14ac:dyDescent="0.25">
      <c r="A66" s="44">
        <v>14</v>
      </c>
      <c r="B66" s="33" t="s">
        <v>80</v>
      </c>
      <c r="C66" s="34">
        <v>13106.54</v>
      </c>
      <c r="D66" s="35">
        <v>12</v>
      </c>
      <c r="E66" s="36">
        <v>2176.4</v>
      </c>
      <c r="F66" s="35">
        <v>4657</v>
      </c>
      <c r="G66" s="46">
        <f t="shared" si="2"/>
        <v>0.46733948894137861</v>
      </c>
      <c r="H66" s="34">
        <f t="shared" si="3"/>
        <v>1092.2116666666668</v>
      </c>
    </row>
    <row r="67" spans="1:8" x14ac:dyDescent="0.25">
      <c r="A67" s="43">
        <v>15</v>
      </c>
      <c r="B67" s="28" t="s">
        <v>81</v>
      </c>
      <c r="C67" s="29">
        <v>10787.43</v>
      </c>
      <c r="D67" s="30">
        <v>8</v>
      </c>
      <c r="E67" s="31">
        <v>1803.7</v>
      </c>
      <c r="F67" s="30">
        <v>4693</v>
      </c>
      <c r="G67" s="45">
        <f t="shared" si="2"/>
        <v>0.38433837630513534</v>
      </c>
      <c r="H67" s="29">
        <f t="shared" si="3"/>
        <v>1348.42875</v>
      </c>
    </row>
    <row r="68" spans="1:8" x14ac:dyDescent="0.25">
      <c r="A68" s="44">
        <v>16</v>
      </c>
      <c r="B68" s="33" t="s">
        <v>82</v>
      </c>
      <c r="C68" s="34">
        <v>10696.62</v>
      </c>
      <c r="D68" s="35">
        <v>5</v>
      </c>
      <c r="E68" s="36">
        <v>1797</v>
      </c>
      <c r="F68" s="35">
        <v>3935</v>
      </c>
      <c r="G68" s="46">
        <f t="shared" si="2"/>
        <v>0.45667090216010164</v>
      </c>
      <c r="H68" s="34">
        <f t="shared" si="3"/>
        <v>2139.3240000000001</v>
      </c>
    </row>
    <row r="69" spans="1:8" x14ac:dyDescent="0.25">
      <c r="A69" s="43">
        <v>17</v>
      </c>
      <c r="B69" s="28" t="s">
        <v>83</v>
      </c>
      <c r="C69" s="29">
        <v>10259.1</v>
      </c>
      <c r="D69" s="30">
        <v>7</v>
      </c>
      <c r="E69" s="31">
        <v>1709.8</v>
      </c>
      <c r="F69" s="30">
        <v>4999</v>
      </c>
      <c r="G69" s="45">
        <f t="shared" si="2"/>
        <v>0.34202840568113624</v>
      </c>
      <c r="H69" s="29">
        <f t="shared" si="3"/>
        <v>1465.5857142857144</v>
      </c>
    </row>
    <row r="70" spans="1:8" x14ac:dyDescent="0.25">
      <c r="A70" s="44">
        <v>18</v>
      </c>
      <c r="B70" s="33" t="s">
        <v>84</v>
      </c>
      <c r="C70" s="34">
        <v>9826.75</v>
      </c>
      <c r="D70" s="35">
        <v>5</v>
      </c>
      <c r="E70" s="36">
        <v>1643.3</v>
      </c>
      <c r="F70" s="35">
        <v>3261</v>
      </c>
      <c r="G70" s="46">
        <f t="shared" si="2"/>
        <v>0.50392517632628031</v>
      </c>
      <c r="H70" s="34">
        <f t="shared" si="3"/>
        <v>1965.35</v>
      </c>
    </row>
    <row r="71" spans="1:8" x14ac:dyDescent="0.25">
      <c r="A71" s="43">
        <v>19</v>
      </c>
      <c r="B71" s="28" t="s">
        <v>85</v>
      </c>
      <c r="C71" s="29">
        <v>9320.08</v>
      </c>
      <c r="D71" s="30">
        <v>6</v>
      </c>
      <c r="E71" s="31">
        <v>1553.7</v>
      </c>
      <c r="F71" s="30">
        <v>3338</v>
      </c>
      <c r="G71" s="45">
        <f t="shared" si="2"/>
        <v>0.46545835829838228</v>
      </c>
      <c r="H71" s="29">
        <f t="shared" si="3"/>
        <v>1553.3466666666666</v>
      </c>
    </row>
    <row r="72" spans="1:8" x14ac:dyDescent="0.25">
      <c r="A72" s="44">
        <v>20</v>
      </c>
      <c r="B72" s="33" t="s">
        <v>86</v>
      </c>
      <c r="C72" s="34">
        <v>8346</v>
      </c>
      <c r="D72" s="35">
        <v>3</v>
      </c>
      <c r="E72" s="36">
        <v>1480</v>
      </c>
      <c r="F72" s="35">
        <v>0</v>
      </c>
      <c r="G72" s="46" t="str">
        <f t="shared" si="2"/>
        <v/>
      </c>
      <c r="H72" s="34">
        <f t="shared" si="3"/>
        <v>2782</v>
      </c>
    </row>
    <row r="73" spans="1:8" x14ac:dyDescent="0.25">
      <c r="A73" s="43">
        <v>21</v>
      </c>
      <c r="B73" s="28" t="s">
        <v>87</v>
      </c>
      <c r="C73" s="29">
        <v>8258.69</v>
      </c>
      <c r="D73" s="30">
        <v>5</v>
      </c>
      <c r="E73" s="31">
        <v>1422.1</v>
      </c>
      <c r="F73" s="30">
        <v>3583</v>
      </c>
      <c r="G73" s="45">
        <f t="shared" si="2"/>
        <v>0.39690203739882779</v>
      </c>
      <c r="H73" s="29">
        <f t="shared" si="3"/>
        <v>1651.7380000000001</v>
      </c>
    </row>
    <row r="74" spans="1:8" x14ac:dyDescent="0.25">
      <c r="A74" s="44">
        <v>22</v>
      </c>
      <c r="B74" s="33" t="s">
        <v>88</v>
      </c>
      <c r="C74" s="34">
        <v>8185.59</v>
      </c>
      <c r="D74" s="35">
        <v>6</v>
      </c>
      <c r="E74" s="36">
        <v>1372.5</v>
      </c>
      <c r="F74" s="35">
        <v>3388</v>
      </c>
      <c r="G74" s="46">
        <f t="shared" si="2"/>
        <v>0.40510625737898465</v>
      </c>
      <c r="H74" s="34">
        <f t="shared" si="3"/>
        <v>1364.2650000000001</v>
      </c>
    </row>
    <row r="75" spans="1:8" x14ac:dyDescent="0.25">
      <c r="A75" s="43">
        <v>23</v>
      </c>
      <c r="B75" s="28" t="s">
        <v>89</v>
      </c>
      <c r="C75" s="29">
        <v>7000.84</v>
      </c>
      <c r="D75" s="30">
        <v>4</v>
      </c>
      <c r="E75" s="31">
        <v>1188.5999999999999</v>
      </c>
      <c r="F75" s="30">
        <v>1578</v>
      </c>
      <c r="G75" s="45">
        <f t="shared" si="2"/>
        <v>0.75323193916349807</v>
      </c>
      <c r="H75" s="29">
        <f t="shared" si="3"/>
        <v>1750.21</v>
      </c>
    </row>
    <row r="76" spans="1:8" x14ac:dyDescent="0.25">
      <c r="A76" s="44">
        <v>24</v>
      </c>
      <c r="B76" s="33" t="s">
        <v>90</v>
      </c>
      <c r="C76" s="34">
        <v>6887.01</v>
      </c>
      <c r="D76" s="35">
        <v>5</v>
      </c>
      <c r="E76" s="36">
        <v>1180.8</v>
      </c>
      <c r="F76" s="35">
        <v>2697</v>
      </c>
      <c r="G76" s="46">
        <f t="shared" si="2"/>
        <v>0.43781979977753055</v>
      </c>
      <c r="H76" s="34">
        <f t="shared" si="3"/>
        <v>1377.402</v>
      </c>
    </row>
    <row r="77" spans="1:8" x14ac:dyDescent="0.25">
      <c r="A77" s="43">
        <v>25</v>
      </c>
      <c r="B77" s="28" t="s">
        <v>91</v>
      </c>
      <c r="C77" s="29">
        <v>6549.64</v>
      </c>
      <c r="D77" s="30">
        <v>3</v>
      </c>
      <c r="E77" s="31">
        <v>1130.9000000000001</v>
      </c>
      <c r="F77" s="30">
        <v>1749</v>
      </c>
      <c r="G77" s="45">
        <f t="shared" si="2"/>
        <v>0.64659805603201836</v>
      </c>
      <c r="H77" s="29">
        <f t="shared" si="3"/>
        <v>2183.2133333333336</v>
      </c>
    </row>
    <row r="78" spans="1:8" x14ac:dyDescent="0.25">
      <c r="A78" s="44">
        <v>26</v>
      </c>
      <c r="B78" s="33" t="s">
        <v>92</v>
      </c>
      <c r="C78" s="34">
        <v>5674.77</v>
      </c>
      <c r="D78" s="35">
        <v>2</v>
      </c>
      <c r="E78" s="36">
        <v>963.5</v>
      </c>
      <c r="F78" s="35">
        <v>1216</v>
      </c>
      <c r="G78" s="46">
        <f t="shared" si="2"/>
        <v>0.79235197368421051</v>
      </c>
      <c r="H78" s="34">
        <f t="shared" si="3"/>
        <v>2837.3850000000002</v>
      </c>
    </row>
    <row r="79" spans="1:8" x14ac:dyDescent="0.25">
      <c r="A79" s="43">
        <v>27</v>
      </c>
      <c r="B79" s="28" t="s">
        <v>93</v>
      </c>
      <c r="C79" s="29">
        <v>5495.01</v>
      </c>
      <c r="D79" s="30">
        <v>3</v>
      </c>
      <c r="E79" s="31">
        <v>910.4</v>
      </c>
      <c r="F79" s="30">
        <v>1223</v>
      </c>
      <c r="G79" s="45">
        <f t="shared" si="2"/>
        <v>0.74439901880621417</v>
      </c>
      <c r="H79" s="29">
        <f t="shared" si="3"/>
        <v>1831.67</v>
      </c>
    </row>
    <row r="80" spans="1:8" x14ac:dyDescent="0.25">
      <c r="A80" s="44">
        <v>28</v>
      </c>
      <c r="B80" s="33" t="s">
        <v>94</v>
      </c>
      <c r="C80" s="34">
        <v>4218.13</v>
      </c>
      <c r="D80" s="35">
        <v>3</v>
      </c>
      <c r="E80" s="36">
        <v>716.2</v>
      </c>
      <c r="F80" s="35">
        <v>376</v>
      </c>
      <c r="G80" s="46">
        <f t="shared" si="2"/>
        <v>1.9047872340425533</v>
      </c>
      <c r="H80" s="34">
        <f t="shared" si="3"/>
        <v>1406.0433333333333</v>
      </c>
    </row>
    <row r="81" spans="1:8" x14ac:dyDescent="0.25">
      <c r="A81" s="43">
        <v>29</v>
      </c>
      <c r="B81" s="28" t="s">
        <v>95</v>
      </c>
      <c r="C81" s="29">
        <v>3975.25</v>
      </c>
      <c r="D81" s="30">
        <v>20</v>
      </c>
      <c r="E81" s="31">
        <v>612.4</v>
      </c>
      <c r="F81" s="30">
        <v>8814</v>
      </c>
      <c r="G81" s="45">
        <f t="shared" si="2"/>
        <v>6.9480372135239388E-2</v>
      </c>
      <c r="H81" s="29">
        <f t="shared" si="3"/>
        <v>198.76249999999999</v>
      </c>
    </row>
    <row r="82" spans="1:8" x14ac:dyDescent="0.25">
      <c r="A82" s="44">
        <v>30</v>
      </c>
      <c r="B82" s="33" t="s">
        <v>96</v>
      </c>
      <c r="C82" s="34">
        <v>3935.75</v>
      </c>
      <c r="D82" s="35">
        <v>2</v>
      </c>
      <c r="E82" s="36">
        <v>680.1</v>
      </c>
      <c r="F82" s="35">
        <v>685</v>
      </c>
      <c r="G82" s="46">
        <f t="shared" si="2"/>
        <v>0.99284671532846713</v>
      </c>
      <c r="H82" s="34">
        <f t="shared" si="3"/>
        <v>1967.875</v>
      </c>
    </row>
    <row r="83" spans="1:8" x14ac:dyDescent="0.25">
      <c r="A83" s="43">
        <v>31</v>
      </c>
      <c r="B83" s="28" t="s">
        <v>97</v>
      </c>
      <c r="C83" s="29">
        <v>3836.43</v>
      </c>
      <c r="D83" s="30">
        <v>3</v>
      </c>
      <c r="E83" s="31">
        <v>642</v>
      </c>
      <c r="F83" s="30">
        <v>563</v>
      </c>
      <c r="G83" s="45">
        <f t="shared" si="2"/>
        <v>1.1403197158081706</v>
      </c>
      <c r="H83" s="29">
        <f t="shared" si="3"/>
        <v>1278.81</v>
      </c>
    </row>
    <row r="84" spans="1:8" x14ac:dyDescent="0.25">
      <c r="A84" s="44">
        <v>32</v>
      </c>
      <c r="B84" s="33" t="s">
        <v>98</v>
      </c>
      <c r="C84" s="34">
        <v>3412.98</v>
      </c>
      <c r="D84" s="35">
        <v>11</v>
      </c>
      <c r="E84" s="36">
        <v>500.8</v>
      </c>
      <c r="F84" s="35">
        <v>6646</v>
      </c>
      <c r="G84" s="46">
        <f t="shared" si="2"/>
        <v>7.5353596148058991E-2</v>
      </c>
      <c r="H84" s="34">
        <f t="shared" si="3"/>
        <v>310.27090909090907</v>
      </c>
    </row>
    <row r="85" spans="1:8" x14ac:dyDescent="0.25">
      <c r="A85" s="43">
        <v>33</v>
      </c>
      <c r="B85" s="28" t="s">
        <v>99</v>
      </c>
      <c r="C85" s="29">
        <v>3047.09</v>
      </c>
      <c r="D85" s="30">
        <v>10</v>
      </c>
      <c r="E85" s="31">
        <v>446.1</v>
      </c>
      <c r="F85" s="30">
        <v>4679</v>
      </c>
      <c r="G85" s="45">
        <f t="shared" si="2"/>
        <v>9.53408848044454E-2</v>
      </c>
      <c r="H85" s="29">
        <f t="shared" si="3"/>
        <v>304.709</v>
      </c>
    </row>
    <row r="86" spans="1:8" x14ac:dyDescent="0.25">
      <c r="A86" s="44">
        <v>34</v>
      </c>
      <c r="B86" s="33" t="s">
        <v>100</v>
      </c>
      <c r="C86" s="34">
        <v>2754.1</v>
      </c>
      <c r="D86" s="35">
        <v>2</v>
      </c>
      <c r="E86" s="36">
        <v>467.6</v>
      </c>
      <c r="F86" s="35">
        <v>0</v>
      </c>
      <c r="G86" s="46" t="str">
        <f t="shared" si="2"/>
        <v/>
      </c>
      <c r="H86" s="34">
        <f t="shared" si="3"/>
        <v>1377.05</v>
      </c>
    </row>
    <row r="87" spans="1:8" x14ac:dyDescent="0.25">
      <c r="A87" s="43">
        <v>35</v>
      </c>
      <c r="B87" s="28" t="s">
        <v>101</v>
      </c>
      <c r="C87" s="29">
        <v>2709.46</v>
      </c>
      <c r="D87" s="30">
        <v>1</v>
      </c>
      <c r="E87" s="31">
        <v>460</v>
      </c>
      <c r="F87" s="30">
        <v>0</v>
      </c>
      <c r="G87" s="45" t="str">
        <f t="shared" si="2"/>
        <v/>
      </c>
      <c r="H87" s="29">
        <f t="shared" si="3"/>
        <v>2709.46</v>
      </c>
    </row>
    <row r="88" spans="1:8" x14ac:dyDescent="0.25">
      <c r="A88" s="44">
        <v>36</v>
      </c>
      <c r="B88" s="33" t="s">
        <v>102</v>
      </c>
      <c r="C88" s="34">
        <v>2642.43</v>
      </c>
      <c r="D88" s="35">
        <v>10</v>
      </c>
      <c r="E88" s="36">
        <v>379.6</v>
      </c>
      <c r="F88" s="35">
        <v>3659</v>
      </c>
      <c r="G88" s="46">
        <f t="shared" si="2"/>
        <v>0.10374419240229571</v>
      </c>
      <c r="H88" s="34">
        <f t="shared" si="3"/>
        <v>264.24299999999999</v>
      </c>
    </row>
    <row r="89" spans="1:8" x14ac:dyDescent="0.25">
      <c r="A89" s="43">
        <v>37</v>
      </c>
      <c r="B89" s="28" t="s">
        <v>103</v>
      </c>
      <c r="C89" s="29">
        <v>2583.33</v>
      </c>
      <c r="D89" s="30">
        <v>9</v>
      </c>
      <c r="E89" s="31">
        <v>377.7</v>
      </c>
      <c r="F89" s="30">
        <v>4497</v>
      </c>
      <c r="G89" s="45">
        <f t="shared" si="2"/>
        <v>8.3989326217478316E-2</v>
      </c>
      <c r="H89" s="29">
        <f t="shared" si="3"/>
        <v>287.03666666666663</v>
      </c>
    </row>
    <row r="90" spans="1:8" x14ac:dyDescent="0.25">
      <c r="A90" s="44">
        <v>38</v>
      </c>
      <c r="B90" s="33" t="s">
        <v>104</v>
      </c>
      <c r="C90" s="34">
        <v>2241.2600000000002</v>
      </c>
      <c r="D90" s="35">
        <v>1</v>
      </c>
      <c r="E90" s="36">
        <v>380.5</v>
      </c>
      <c r="F90" s="35">
        <v>0</v>
      </c>
      <c r="G90" s="46" t="str">
        <f t="shared" si="2"/>
        <v/>
      </c>
      <c r="H90" s="34">
        <f t="shared" si="3"/>
        <v>2241.2600000000002</v>
      </c>
    </row>
    <row r="91" spans="1:8" x14ac:dyDescent="0.25">
      <c r="A91" s="43">
        <v>39</v>
      </c>
      <c r="B91" s="28" t="s">
        <v>105</v>
      </c>
      <c r="C91" s="29">
        <v>1665.78</v>
      </c>
      <c r="D91" s="30">
        <v>6</v>
      </c>
      <c r="E91" s="31">
        <v>257.89999999999998</v>
      </c>
      <c r="F91" s="30">
        <v>3306</v>
      </c>
      <c r="G91" s="45">
        <f t="shared" si="2"/>
        <v>7.8009679370840884E-2</v>
      </c>
      <c r="H91" s="29">
        <f t="shared" si="3"/>
        <v>277.63</v>
      </c>
    </row>
    <row r="92" spans="1:8" x14ac:dyDescent="0.25">
      <c r="A92" s="44">
        <v>40</v>
      </c>
      <c r="B92" s="33" t="s">
        <v>106</v>
      </c>
      <c r="C92" s="34">
        <v>1606.55</v>
      </c>
      <c r="D92" s="35">
        <v>1</v>
      </c>
      <c r="E92" s="36">
        <v>272.8</v>
      </c>
      <c r="F92" s="35">
        <v>0</v>
      </c>
      <c r="G92" s="46" t="str">
        <f t="shared" si="2"/>
        <v/>
      </c>
      <c r="H92" s="34">
        <f t="shared" si="3"/>
        <v>1606.55</v>
      </c>
    </row>
    <row r="93" spans="1:8" x14ac:dyDescent="0.25">
      <c r="A93" s="43">
        <v>41</v>
      </c>
      <c r="B93" s="28" t="s">
        <v>107</v>
      </c>
      <c r="C93" s="29">
        <v>1143.82</v>
      </c>
      <c r="D93" s="30">
        <v>5</v>
      </c>
      <c r="E93" s="31">
        <v>167.7</v>
      </c>
      <c r="F93" s="30">
        <v>2406</v>
      </c>
      <c r="G93" s="45">
        <f t="shared" si="2"/>
        <v>6.9700748129675805E-2</v>
      </c>
      <c r="H93" s="29">
        <f t="shared" si="3"/>
        <v>228.76399999999998</v>
      </c>
    </row>
    <row r="94" spans="1:8" x14ac:dyDescent="0.25">
      <c r="A94" s="44">
        <v>42</v>
      </c>
      <c r="B94" s="33" t="s">
        <v>108</v>
      </c>
      <c r="C94" s="34">
        <v>871.89</v>
      </c>
      <c r="D94" s="35">
        <v>3</v>
      </c>
      <c r="E94" s="36">
        <v>146.69999999999999</v>
      </c>
      <c r="F94" s="35">
        <v>280</v>
      </c>
      <c r="G94" s="46">
        <f t="shared" si="2"/>
        <v>0.52392857142857141</v>
      </c>
      <c r="H94" s="34">
        <f t="shared" si="3"/>
        <v>290.63</v>
      </c>
    </row>
    <row r="95" spans="1:8" x14ac:dyDescent="0.25">
      <c r="A95" s="43">
        <v>43</v>
      </c>
      <c r="B95" s="28" t="s">
        <v>109</v>
      </c>
      <c r="C95" s="29">
        <v>836.09</v>
      </c>
      <c r="D95" s="30">
        <v>2</v>
      </c>
      <c r="E95" s="31">
        <v>139.6</v>
      </c>
      <c r="F95" s="30">
        <v>0</v>
      </c>
      <c r="G95" s="45" t="str">
        <f t="shared" si="2"/>
        <v/>
      </c>
      <c r="H95" s="29">
        <f t="shared" si="3"/>
        <v>418.04500000000002</v>
      </c>
    </row>
    <row r="96" spans="1:8" x14ac:dyDescent="0.25">
      <c r="A96" s="44">
        <v>44</v>
      </c>
      <c r="B96" s="33" t="s">
        <v>110</v>
      </c>
      <c r="C96" s="34">
        <v>816.49</v>
      </c>
      <c r="D96" s="35">
        <v>3</v>
      </c>
      <c r="E96" s="36">
        <v>119.1</v>
      </c>
      <c r="F96" s="35">
        <v>802</v>
      </c>
      <c r="G96" s="46">
        <f t="shared" si="2"/>
        <v>0.14850374064837904</v>
      </c>
      <c r="H96" s="34">
        <f t="shared" si="3"/>
        <v>272.16333333333336</v>
      </c>
    </row>
    <row r="97" spans="1:13" x14ac:dyDescent="0.25">
      <c r="A97" s="43">
        <v>45</v>
      </c>
      <c r="B97" s="28" t="s">
        <v>111</v>
      </c>
      <c r="C97" s="29">
        <v>514.25</v>
      </c>
      <c r="D97" s="30">
        <v>3</v>
      </c>
      <c r="E97" s="31">
        <v>75</v>
      </c>
      <c r="F97" s="30">
        <v>0</v>
      </c>
      <c r="G97" s="45" t="str">
        <f t="shared" si="2"/>
        <v/>
      </c>
      <c r="H97" s="29">
        <f t="shared" si="3"/>
        <v>171.41666666666666</v>
      </c>
    </row>
    <row r="98" spans="1:13" x14ac:dyDescent="0.25">
      <c r="A98" s="44">
        <v>46</v>
      </c>
      <c r="B98" s="33" t="s">
        <v>112</v>
      </c>
      <c r="C98" s="34">
        <v>354.64</v>
      </c>
      <c r="D98" s="35">
        <v>1</v>
      </c>
      <c r="E98" s="36">
        <v>60.2</v>
      </c>
      <c r="F98" s="35">
        <v>0</v>
      </c>
      <c r="G98" s="46" t="str">
        <f t="shared" si="2"/>
        <v/>
      </c>
      <c r="H98" s="34">
        <f t="shared" si="3"/>
        <v>354.64</v>
      </c>
    </row>
    <row r="100" spans="1:13" ht="18" customHeight="1" x14ac:dyDescent="0.25">
      <c r="A100" s="88" t="s">
        <v>113</v>
      </c>
      <c r="B100" s="88"/>
      <c r="C100" s="88"/>
      <c r="D100" s="88"/>
      <c r="E100" s="88"/>
      <c r="F100" s="88"/>
      <c r="G100" s="17"/>
      <c r="H100" s="17"/>
      <c r="I100" s="17"/>
      <c r="J100" s="17"/>
      <c r="K100" s="17"/>
      <c r="L100" s="17"/>
      <c r="M100" s="17"/>
    </row>
    <row r="101" spans="1:13" x14ac:dyDescent="0.25">
      <c r="A101" s="18" t="s">
        <v>114</v>
      </c>
      <c r="B101" s="18" t="s">
        <v>115</v>
      </c>
      <c r="C101" s="18" t="s">
        <v>59</v>
      </c>
      <c r="D101" s="18" t="s">
        <v>57</v>
      </c>
      <c r="E101" s="18" t="s">
        <v>116</v>
      </c>
      <c r="F101" s="18" t="s">
        <v>117</v>
      </c>
    </row>
    <row r="102" spans="1:13" x14ac:dyDescent="0.25">
      <c r="A102" s="28" t="s">
        <v>6</v>
      </c>
      <c r="B102" s="30">
        <v>45</v>
      </c>
      <c r="C102" s="31">
        <v>1287.5999999999999</v>
      </c>
      <c r="D102" s="29">
        <v>4001.64</v>
      </c>
      <c r="E102" s="47">
        <f>D102/SUM($D$102:$D$106)</f>
        <v>9.8629201878471188E-3</v>
      </c>
      <c r="F102" s="29">
        <f>D102/C102</f>
        <v>3.107828518173346</v>
      </c>
    </row>
    <row r="103" spans="1:13" x14ac:dyDescent="0.25">
      <c r="A103" s="33" t="s">
        <v>9</v>
      </c>
      <c r="B103" s="35">
        <v>1</v>
      </c>
      <c r="C103" s="36">
        <v>60.2</v>
      </c>
      <c r="D103" s="34">
        <v>354.64</v>
      </c>
      <c r="E103" s="47">
        <f>D103/SUM($D$102:$D$106)</f>
        <v>8.7408812772215942E-4</v>
      </c>
      <c r="F103" s="34">
        <f>D103/C103</f>
        <v>5.8910299003322253</v>
      </c>
    </row>
    <row r="104" spans="1:13" x14ac:dyDescent="0.25">
      <c r="A104" s="28" t="s">
        <v>10</v>
      </c>
      <c r="B104" s="30">
        <v>129</v>
      </c>
      <c r="C104" s="31">
        <v>49828.2</v>
      </c>
      <c r="D104" s="29">
        <v>292267.42</v>
      </c>
      <c r="E104" s="47">
        <f>D104/SUM($D$102:$D$106)</f>
        <v>0.7203572127847564</v>
      </c>
      <c r="F104" s="29">
        <f>D104/C104</f>
        <v>5.8655022657852385</v>
      </c>
    </row>
    <row r="105" spans="1:13" x14ac:dyDescent="0.25">
      <c r="A105" s="33" t="s">
        <v>11</v>
      </c>
      <c r="B105" s="35">
        <v>44</v>
      </c>
      <c r="C105" s="36">
        <v>15260.6</v>
      </c>
      <c r="D105" s="34">
        <v>89300.56</v>
      </c>
      <c r="E105" s="47">
        <f>D105/SUM($D$102:$D$106)</f>
        <v>0.22010083266112215</v>
      </c>
      <c r="F105" s="34">
        <f>D105/C105</f>
        <v>5.8517070102092967</v>
      </c>
    </row>
    <row r="106" spans="1:13" x14ac:dyDescent="0.25">
      <c r="A106" s="28" t="s">
        <v>12</v>
      </c>
      <c r="B106" s="30">
        <v>77</v>
      </c>
      <c r="C106" s="31">
        <v>2936.2</v>
      </c>
      <c r="D106" s="29">
        <v>19801.419999999998</v>
      </c>
      <c r="E106" s="47">
        <f>D106/SUM($D$102:$D$106)</f>
        <v>4.880494623855211E-2</v>
      </c>
      <c r="F106" s="29">
        <f>D106/C106</f>
        <v>6.7438934677474283</v>
      </c>
    </row>
  </sheetData>
  <mergeCells count="7">
    <mergeCell ref="A51:H51"/>
    <mergeCell ref="A100:F100"/>
    <mergeCell ref="A1:I1"/>
    <mergeCell ref="A3:B3"/>
    <mergeCell ref="A21:F21"/>
    <mergeCell ref="A28:F28"/>
    <mergeCell ref="A35:G35"/>
  </mergeCells>
  <conditionalFormatting sqref="C37:C49">
    <cfRule type="colorScale" priority="3">
      <colorScale>
        <cfvo type="min"/>
        <cfvo type="max"/>
        <color rgb="FFFFFFFF"/>
        <color rgb="FF1A56DB"/>
      </colorScale>
    </cfRule>
  </conditionalFormatting>
  <conditionalFormatting sqref="C53:C98">
    <cfRule type="colorScale" priority="2">
      <colorScale>
        <cfvo type="min"/>
        <cfvo type="max"/>
        <color rgb="FFFFFFFF"/>
        <color rgb="FF1A56D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B4E3"/>
  </sheetPr>
  <dimension ref="A1:N532"/>
  <sheetViews>
    <sheetView showGridLines="0" zoomScale="85" zoomScaleNormal="85" workbookViewId="0">
      <pane ySplit="4" topLeftCell="A5" activePane="bottomLeft" state="frozen"/>
      <selection pane="bottomLeft" activeCell="M5" sqref="M5:M356"/>
    </sheetView>
  </sheetViews>
  <sheetFormatPr defaultColWidth="8.7109375" defaultRowHeight="15" x14ac:dyDescent="0.25"/>
  <cols>
    <col min="1" max="1" width="18" style="48" customWidth="1"/>
    <col min="2" max="3" width="13" customWidth="1"/>
    <col min="4" max="4" width="32" customWidth="1"/>
    <col min="5" max="5" width="22" customWidth="1"/>
    <col min="6" max="6" width="11" customWidth="1"/>
    <col min="7" max="7" width="16" customWidth="1"/>
    <col min="8" max="8" width="10" customWidth="1"/>
    <col min="9" max="10" width="15" customWidth="1"/>
    <col min="11" max="11" width="14" customWidth="1"/>
    <col min="12" max="12" width="28" customWidth="1"/>
    <col min="13" max="13" width="12" customWidth="1"/>
    <col min="14" max="14" width="67.140625" customWidth="1"/>
  </cols>
  <sheetData>
    <row r="1" spans="1:14" s="1" customFormat="1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31.5" customHeight="1" x14ac:dyDescent="0.25">
      <c r="A2" s="91" t="s">
        <v>118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3" spans="1:14" ht="15.75" customHeight="1" x14ac:dyDescent="0.25">
      <c r="A3" s="49"/>
      <c r="B3" s="50"/>
      <c r="C3" s="50"/>
      <c r="D3" s="50" t="s">
        <v>119</v>
      </c>
      <c r="E3" s="50"/>
      <c r="F3" s="50"/>
      <c r="G3" s="50"/>
      <c r="H3" s="50"/>
      <c r="I3" s="50"/>
      <c r="J3" s="50"/>
      <c r="K3" s="50"/>
      <c r="L3" s="50"/>
      <c r="M3" s="50"/>
    </row>
    <row r="4" spans="1:14" ht="21.75" customHeight="1" x14ac:dyDescent="0.25">
      <c r="A4" s="51" t="s">
        <v>120</v>
      </c>
      <c r="B4" s="52" t="s">
        <v>121</v>
      </c>
      <c r="C4" s="52" t="s">
        <v>122</v>
      </c>
      <c r="D4" s="52" t="s">
        <v>123</v>
      </c>
      <c r="E4" s="52" t="s">
        <v>124</v>
      </c>
      <c r="F4" s="52" t="s">
        <v>73</v>
      </c>
      <c r="G4" s="52" t="s">
        <v>114</v>
      </c>
      <c r="H4" s="52" t="s">
        <v>125</v>
      </c>
      <c r="I4" s="52" t="s">
        <v>126</v>
      </c>
      <c r="J4" s="52" t="s">
        <v>127</v>
      </c>
      <c r="K4" s="52" t="s">
        <v>128</v>
      </c>
      <c r="L4" s="52" t="s">
        <v>129</v>
      </c>
      <c r="M4" s="52" t="s">
        <v>130</v>
      </c>
      <c r="N4" s="52" t="s">
        <v>131</v>
      </c>
    </row>
    <row r="5" spans="1:14" ht="15" customHeight="1" x14ac:dyDescent="0.25">
      <c r="A5" s="53" t="s">
        <v>132</v>
      </c>
      <c r="B5" s="54">
        <v>46025</v>
      </c>
      <c r="C5" s="55"/>
      <c r="D5" s="55" t="s">
        <v>133</v>
      </c>
      <c r="E5" s="55"/>
      <c r="F5" s="55"/>
      <c r="G5" s="55"/>
      <c r="H5" s="56"/>
      <c r="I5" s="57">
        <v>331.45</v>
      </c>
      <c r="J5" s="57"/>
      <c r="K5" s="57">
        <f t="shared" ref="K5:K68" si="0">IFERROR(I5-J5,"")</f>
        <v>331.45</v>
      </c>
      <c r="L5" s="100"/>
      <c r="M5" s="100" t="s">
        <v>407</v>
      </c>
      <c r="N5" s="100" t="s">
        <v>410</v>
      </c>
    </row>
    <row r="6" spans="1:14" ht="15" customHeight="1" x14ac:dyDescent="0.25">
      <c r="A6" s="53" t="s">
        <v>132</v>
      </c>
      <c r="B6" s="54">
        <v>46025</v>
      </c>
      <c r="C6" s="55"/>
      <c r="D6" s="55" t="s">
        <v>133</v>
      </c>
      <c r="E6" s="55"/>
      <c r="F6" s="55"/>
      <c r="G6" s="55"/>
      <c r="H6" s="56"/>
      <c r="I6" s="57">
        <v>331.45</v>
      </c>
      <c r="J6" s="57"/>
      <c r="K6" s="57">
        <f t="shared" si="0"/>
        <v>331.45</v>
      </c>
      <c r="L6" s="55"/>
      <c r="M6" s="100" t="s">
        <v>407</v>
      </c>
      <c r="N6" s="100" t="s">
        <v>410</v>
      </c>
    </row>
    <row r="7" spans="1:14" ht="15" customHeight="1" x14ac:dyDescent="0.25">
      <c r="A7" s="53" t="s">
        <v>132</v>
      </c>
      <c r="B7" s="54">
        <v>46025</v>
      </c>
      <c r="C7" s="55"/>
      <c r="D7" s="55" t="s">
        <v>134</v>
      </c>
      <c r="E7" s="55"/>
      <c r="F7" s="55"/>
      <c r="G7" s="55"/>
      <c r="H7" s="56"/>
      <c r="I7" s="57">
        <v>2930.06</v>
      </c>
      <c r="J7" s="57"/>
      <c r="K7" s="57">
        <f t="shared" si="0"/>
        <v>2930.06</v>
      </c>
      <c r="L7" s="55"/>
      <c r="M7" s="100" t="s">
        <v>407</v>
      </c>
      <c r="N7" s="100" t="s">
        <v>410</v>
      </c>
    </row>
    <row r="8" spans="1:14" ht="15" customHeight="1" x14ac:dyDescent="0.25">
      <c r="A8" s="53" t="s">
        <v>132</v>
      </c>
      <c r="B8" s="54">
        <v>46026</v>
      </c>
      <c r="C8" s="55"/>
      <c r="D8" s="55" t="s">
        <v>135</v>
      </c>
      <c r="E8" s="55"/>
      <c r="F8" s="55"/>
      <c r="G8" s="55"/>
      <c r="H8" s="56"/>
      <c r="I8" s="57">
        <v>2381.25</v>
      </c>
      <c r="J8" s="57"/>
      <c r="K8" s="57">
        <f t="shared" si="0"/>
        <v>2381.25</v>
      </c>
      <c r="L8" s="55"/>
      <c r="M8" s="100" t="s">
        <v>407</v>
      </c>
      <c r="N8" s="100" t="s">
        <v>410</v>
      </c>
    </row>
    <row r="9" spans="1:14" ht="15" customHeight="1" x14ac:dyDescent="0.25">
      <c r="A9" s="58" t="s">
        <v>136</v>
      </c>
      <c r="B9" s="59">
        <v>46027</v>
      </c>
      <c r="C9" s="59">
        <v>46024</v>
      </c>
      <c r="D9" s="60" t="s">
        <v>137</v>
      </c>
      <c r="E9" s="60" t="s">
        <v>15</v>
      </c>
      <c r="F9" s="60"/>
      <c r="G9" s="60" t="s">
        <v>10</v>
      </c>
      <c r="H9" s="61">
        <v>307.73099999999999</v>
      </c>
      <c r="I9" s="62">
        <v>1843.3</v>
      </c>
      <c r="J9" s="62">
        <v>1843.3</v>
      </c>
      <c r="K9" s="62">
        <f t="shared" si="0"/>
        <v>0</v>
      </c>
      <c r="L9" s="60"/>
      <c r="M9" s="100" t="s">
        <v>407</v>
      </c>
      <c r="N9" s="100" t="s">
        <v>410</v>
      </c>
    </row>
    <row r="10" spans="1:14" ht="15" customHeight="1" x14ac:dyDescent="0.25">
      <c r="A10" s="53" t="s">
        <v>132</v>
      </c>
      <c r="B10" s="54">
        <v>46027</v>
      </c>
      <c r="C10" s="55"/>
      <c r="D10" s="55" t="s">
        <v>137</v>
      </c>
      <c r="E10" s="55"/>
      <c r="F10" s="55"/>
      <c r="G10" s="55"/>
      <c r="H10" s="56"/>
      <c r="I10" s="57">
        <v>6813.05</v>
      </c>
      <c r="J10" s="57"/>
      <c r="K10" s="57">
        <f t="shared" si="0"/>
        <v>6813.05</v>
      </c>
      <c r="L10" s="55"/>
      <c r="M10" s="100" t="s">
        <v>407</v>
      </c>
      <c r="N10" s="100" t="s">
        <v>410</v>
      </c>
    </row>
    <row r="11" spans="1:14" ht="15" customHeight="1" x14ac:dyDescent="0.25">
      <c r="A11" s="58" t="s">
        <v>136</v>
      </c>
      <c r="B11" s="59">
        <v>46027</v>
      </c>
      <c r="C11" s="59">
        <v>46027</v>
      </c>
      <c r="D11" s="60" t="s">
        <v>138</v>
      </c>
      <c r="E11" s="60" t="s">
        <v>16</v>
      </c>
      <c r="F11" s="60"/>
      <c r="G11" s="60" t="s">
        <v>10</v>
      </c>
      <c r="H11" s="61">
        <v>665.01</v>
      </c>
      <c r="I11" s="62">
        <v>3717.41</v>
      </c>
      <c r="J11" s="62">
        <v>3717.41</v>
      </c>
      <c r="K11" s="62">
        <f t="shared" si="0"/>
        <v>0</v>
      </c>
      <c r="L11" s="60"/>
      <c r="M11" s="100" t="s">
        <v>407</v>
      </c>
      <c r="N11" s="100" t="s">
        <v>410</v>
      </c>
    </row>
    <row r="12" spans="1:14" ht="15" customHeight="1" x14ac:dyDescent="0.25">
      <c r="A12" s="53" t="s">
        <v>132</v>
      </c>
      <c r="B12" s="54">
        <v>46028</v>
      </c>
      <c r="C12" s="55"/>
      <c r="D12" s="55" t="s">
        <v>139</v>
      </c>
      <c r="E12" s="55"/>
      <c r="F12" s="55"/>
      <c r="G12" s="55"/>
      <c r="H12" s="56"/>
      <c r="I12" s="57">
        <v>3358.32</v>
      </c>
      <c r="J12" s="57"/>
      <c r="K12" s="57">
        <f t="shared" si="0"/>
        <v>3358.32</v>
      </c>
      <c r="L12" s="55"/>
      <c r="M12" s="100" t="s">
        <v>407</v>
      </c>
      <c r="N12" s="100" t="s">
        <v>410</v>
      </c>
    </row>
    <row r="13" spans="1:14" ht="15" customHeight="1" x14ac:dyDescent="0.25">
      <c r="A13" s="58" t="s">
        <v>136</v>
      </c>
      <c r="B13" s="59">
        <v>46028</v>
      </c>
      <c r="C13" s="59">
        <v>46028</v>
      </c>
      <c r="D13" s="60" t="s">
        <v>138</v>
      </c>
      <c r="E13" s="60" t="s">
        <v>16</v>
      </c>
      <c r="F13" s="60"/>
      <c r="G13" s="60" t="s">
        <v>10</v>
      </c>
      <c r="H13" s="61">
        <v>380</v>
      </c>
      <c r="I13" s="62">
        <v>2143.1999999999998</v>
      </c>
      <c r="J13" s="62">
        <v>2143.1999999999998</v>
      </c>
      <c r="K13" s="62">
        <f t="shared" si="0"/>
        <v>0</v>
      </c>
      <c r="L13" s="60"/>
      <c r="M13" s="100" t="s">
        <v>407</v>
      </c>
      <c r="N13" s="100" t="s">
        <v>410</v>
      </c>
    </row>
    <row r="14" spans="1:14" ht="15" customHeight="1" x14ac:dyDescent="0.25">
      <c r="A14" s="58" t="s">
        <v>136</v>
      </c>
      <c r="B14" s="59">
        <v>46028</v>
      </c>
      <c r="C14" s="59">
        <v>46028</v>
      </c>
      <c r="D14" s="60" t="s">
        <v>138</v>
      </c>
      <c r="E14" s="60" t="s">
        <v>16</v>
      </c>
      <c r="F14" s="60"/>
      <c r="G14" s="60" t="s">
        <v>6</v>
      </c>
      <c r="H14" s="61">
        <v>45.12</v>
      </c>
      <c r="I14" s="62">
        <v>134.91999999999999</v>
      </c>
      <c r="J14" s="62">
        <v>134.91</v>
      </c>
      <c r="K14" s="62">
        <f t="shared" si="0"/>
        <v>9.9999999999909051E-3</v>
      </c>
      <c r="L14" s="60"/>
      <c r="M14" s="100" t="s">
        <v>407</v>
      </c>
      <c r="N14" s="100" t="s">
        <v>410</v>
      </c>
    </row>
    <row r="15" spans="1:14" ht="15" customHeight="1" x14ac:dyDescent="0.25">
      <c r="A15" s="58" t="s">
        <v>136</v>
      </c>
      <c r="B15" s="59">
        <v>46028</v>
      </c>
      <c r="C15" s="59">
        <v>46028</v>
      </c>
      <c r="D15" s="60" t="s">
        <v>138</v>
      </c>
      <c r="E15" s="60" t="s">
        <v>16</v>
      </c>
      <c r="F15" s="60"/>
      <c r="G15" s="60" t="s">
        <v>10</v>
      </c>
      <c r="H15" s="61">
        <v>615.37</v>
      </c>
      <c r="I15" s="62">
        <v>3470.69</v>
      </c>
      <c r="J15" s="62">
        <v>3470.69</v>
      </c>
      <c r="K15" s="62">
        <f t="shared" si="0"/>
        <v>0</v>
      </c>
      <c r="L15" s="60"/>
      <c r="M15" s="100" t="s">
        <v>407</v>
      </c>
      <c r="N15" s="100" t="s">
        <v>410</v>
      </c>
    </row>
    <row r="16" spans="1:14" ht="15" customHeight="1" x14ac:dyDescent="0.25">
      <c r="A16" s="58" t="s">
        <v>136</v>
      </c>
      <c r="B16" s="59">
        <v>46029</v>
      </c>
      <c r="C16" s="59">
        <v>46029</v>
      </c>
      <c r="D16" s="60" t="s">
        <v>133</v>
      </c>
      <c r="E16" s="60" t="s">
        <v>17</v>
      </c>
      <c r="F16" s="60"/>
      <c r="G16" s="60" t="s">
        <v>12</v>
      </c>
      <c r="H16" s="61">
        <v>42.74</v>
      </c>
      <c r="I16" s="62">
        <v>277.38</v>
      </c>
      <c r="J16" s="62">
        <v>277.38</v>
      </c>
      <c r="K16" s="62">
        <f t="shared" si="0"/>
        <v>0</v>
      </c>
      <c r="L16" s="60"/>
      <c r="M16" s="100" t="s">
        <v>407</v>
      </c>
      <c r="N16" s="100" t="s">
        <v>410</v>
      </c>
    </row>
    <row r="17" spans="1:14" ht="15" customHeight="1" x14ac:dyDescent="0.25">
      <c r="A17" s="58" t="s">
        <v>136</v>
      </c>
      <c r="B17" s="59">
        <v>46029</v>
      </c>
      <c r="C17" s="59">
        <v>46029</v>
      </c>
      <c r="D17" s="60" t="s">
        <v>133</v>
      </c>
      <c r="E17" s="60" t="s">
        <v>17</v>
      </c>
      <c r="F17" s="60"/>
      <c r="G17" s="60" t="s">
        <v>10</v>
      </c>
      <c r="H17" s="61">
        <v>463</v>
      </c>
      <c r="I17" s="62">
        <v>2773.37</v>
      </c>
      <c r="J17" s="62">
        <v>2773.37</v>
      </c>
      <c r="K17" s="62">
        <f t="shared" si="0"/>
        <v>0</v>
      </c>
      <c r="L17" s="60"/>
      <c r="M17" s="100" t="s">
        <v>407</v>
      </c>
      <c r="N17" s="100" t="s">
        <v>410</v>
      </c>
    </row>
    <row r="18" spans="1:14" ht="15" customHeight="1" x14ac:dyDescent="0.25">
      <c r="A18" s="58" t="s">
        <v>136</v>
      </c>
      <c r="B18" s="59">
        <v>46030</v>
      </c>
      <c r="C18" s="59">
        <v>46028</v>
      </c>
      <c r="D18" s="60" t="s">
        <v>140</v>
      </c>
      <c r="E18" s="60" t="s">
        <v>21</v>
      </c>
      <c r="F18" s="60"/>
      <c r="G18" s="60" t="s">
        <v>12</v>
      </c>
      <c r="H18" s="61">
        <v>40.81</v>
      </c>
      <c r="I18" s="62">
        <v>284.85000000000002</v>
      </c>
      <c r="J18" s="62">
        <v>284.85000000000002</v>
      </c>
      <c r="K18" s="62">
        <f t="shared" si="0"/>
        <v>0</v>
      </c>
      <c r="L18" s="60"/>
      <c r="M18" s="100" t="s">
        <v>407</v>
      </c>
      <c r="N18" s="100" t="s">
        <v>410</v>
      </c>
    </row>
    <row r="19" spans="1:14" ht="15" customHeight="1" x14ac:dyDescent="0.25">
      <c r="A19" s="58" t="s">
        <v>136</v>
      </c>
      <c r="B19" s="59">
        <v>46030</v>
      </c>
      <c r="C19" s="59">
        <v>46030</v>
      </c>
      <c r="D19" s="60" t="s">
        <v>138</v>
      </c>
      <c r="E19" s="60" t="s">
        <v>16</v>
      </c>
      <c r="F19" s="60"/>
      <c r="G19" s="60" t="s">
        <v>10</v>
      </c>
      <c r="H19" s="61">
        <v>400</v>
      </c>
      <c r="I19" s="62">
        <v>2256</v>
      </c>
      <c r="J19" s="62">
        <v>2256</v>
      </c>
      <c r="K19" s="62">
        <f t="shared" si="0"/>
        <v>0</v>
      </c>
      <c r="L19" s="60"/>
      <c r="M19" s="100" t="s">
        <v>407</v>
      </c>
      <c r="N19" s="100" t="s">
        <v>410</v>
      </c>
    </row>
    <row r="20" spans="1:14" ht="15" customHeight="1" x14ac:dyDescent="0.25">
      <c r="A20" s="58" t="s">
        <v>136</v>
      </c>
      <c r="B20" s="59">
        <v>46030</v>
      </c>
      <c r="C20" s="59">
        <v>46030</v>
      </c>
      <c r="D20" s="60" t="s">
        <v>138</v>
      </c>
      <c r="E20" s="60" t="s">
        <v>16</v>
      </c>
      <c r="F20" s="60"/>
      <c r="G20" s="60" t="s">
        <v>10</v>
      </c>
      <c r="H20" s="61">
        <v>356</v>
      </c>
      <c r="I20" s="62">
        <v>2007.84</v>
      </c>
      <c r="J20" s="62">
        <v>2007.84</v>
      </c>
      <c r="K20" s="62">
        <f t="shared" si="0"/>
        <v>0</v>
      </c>
      <c r="L20" s="60"/>
      <c r="M20" s="100" t="s">
        <v>407</v>
      </c>
      <c r="N20" s="100" t="s">
        <v>410</v>
      </c>
    </row>
    <row r="21" spans="1:14" ht="15" customHeight="1" x14ac:dyDescent="0.25">
      <c r="A21" s="53" t="s">
        <v>132</v>
      </c>
      <c r="B21" s="54">
        <v>46030</v>
      </c>
      <c r="C21" s="55"/>
      <c r="D21" s="55" t="s">
        <v>141</v>
      </c>
      <c r="E21" s="55"/>
      <c r="F21" s="55"/>
      <c r="G21" s="55"/>
      <c r="H21" s="56"/>
      <c r="I21" s="57">
        <v>3160</v>
      </c>
      <c r="J21" s="57"/>
      <c r="K21" s="57">
        <f t="shared" si="0"/>
        <v>3160</v>
      </c>
      <c r="L21" s="55"/>
      <c r="M21" s="100" t="s">
        <v>407</v>
      </c>
      <c r="N21" s="100" t="s">
        <v>410</v>
      </c>
    </row>
    <row r="22" spans="1:14" ht="15" customHeight="1" x14ac:dyDescent="0.25">
      <c r="A22" s="63" t="s">
        <v>142</v>
      </c>
      <c r="B22" s="64">
        <v>46031</v>
      </c>
      <c r="C22" s="64">
        <v>46034</v>
      </c>
      <c r="D22" s="65" t="s">
        <v>133</v>
      </c>
      <c r="E22" s="65" t="s">
        <v>17</v>
      </c>
      <c r="F22" s="65"/>
      <c r="G22" s="65" t="s">
        <v>12</v>
      </c>
      <c r="H22" s="66">
        <v>40.94</v>
      </c>
      <c r="I22" s="67">
        <v>266.41000000000003</v>
      </c>
      <c r="J22" s="67">
        <v>265.7</v>
      </c>
      <c r="K22" s="67">
        <f t="shared" si="0"/>
        <v>0.71000000000003638</v>
      </c>
      <c r="L22" s="65"/>
      <c r="M22" s="100" t="s">
        <v>407</v>
      </c>
      <c r="N22" s="100" t="s">
        <v>410</v>
      </c>
    </row>
    <row r="23" spans="1:14" ht="15" customHeight="1" x14ac:dyDescent="0.25">
      <c r="A23" s="53" t="s">
        <v>132</v>
      </c>
      <c r="B23" s="54">
        <v>46031</v>
      </c>
      <c r="C23" s="55"/>
      <c r="D23" s="55" t="s">
        <v>134</v>
      </c>
      <c r="E23" s="55"/>
      <c r="F23" s="55"/>
      <c r="G23" s="55"/>
      <c r="H23" s="56"/>
      <c r="I23" s="57">
        <v>1513.11</v>
      </c>
      <c r="J23" s="57"/>
      <c r="K23" s="57">
        <f t="shared" si="0"/>
        <v>1513.11</v>
      </c>
      <c r="L23" s="55"/>
      <c r="M23" s="100" t="s">
        <v>407</v>
      </c>
      <c r="N23" s="100" t="s">
        <v>410</v>
      </c>
    </row>
    <row r="24" spans="1:14" ht="15" customHeight="1" x14ac:dyDescent="0.25">
      <c r="A24" s="53" t="s">
        <v>132</v>
      </c>
      <c r="B24" s="54">
        <v>46031</v>
      </c>
      <c r="C24" s="55"/>
      <c r="D24" s="55" t="s">
        <v>134</v>
      </c>
      <c r="E24" s="55"/>
      <c r="F24" s="55"/>
      <c r="G24" s="55"/>
      <c r="H24" s="56"/>
      <c r="I24" s="57">
        <v>4014.1</v>
      </c>
      <c r="J24" s="57"/>
      <c r="K24" s="57">
        <f t="shared" si="0"/>
        <v>4014.1</v>
      </c>
      <c r="L24" s="55"/>
      <c r="M24" s="100" t="s">
        <v>407</v>
      </c>
      <c r="N24" s="100" t="s">
        <v>410</v>
      </c>
    </row>
    <row r="25" spans="1:14" ht="15" customHeight="1" x14ac:dyDescent="0.25">
      <c r="A25" s="58" t="s">
        <v>136</v>
      </c>
      <c r="B25" s="59">
        <v>46031</v>
      </c>
      <c r="C25" s="59">
        <v>46031</v>
      </c>
      <c r="D25" s="60" t="s">
        <v>138</v>
      </c>
      <c r="E25" s="60" t="s">
        <v>16</v>
      </c>
      <c r="F25" s="60"/>
      <c r="G25" s="60" t="s">
        <v>10</v>
      </c>
      <c r="H25" s="61">
        <v>394.6</v>
      </c>
      <c r="I25" s="62">
        <v>2225.54</v>
      </c>
      <c r="J25" s="62">
        <v>2225.54</v>
      </c>
      <c r="K25" s="62">
        <f t="shared" si="0"/>
        <v>0</v>
      </c>
      <c r="L25" s="60"/>
      <c r="M25" s="100" t="s">
        <v>407</v>
      </c>
      <c r="N25" s="100" t="s">
        <v>410</v>
      </c>
    </row>
    <row r="26" spans="1:14" ht="15" customHeight="1" x14ac:dyDescent="0.25">
      <c r="A26" s="53" t="s">
        <v>132</v>
      </c>
      <c r="B26" s="54">
        <v>46031</v>
      </c>
      <c r="C26" s="55"/>
      <c r="D26" s="55" t="s">
        <v>138</v>
      </c>
      <c r="E26" s="55"/>
      <c r="F26" s="55"/>
      <c r="G26" s="55"/>
      <c r="H26" s="56"/>
      <c r="I26" s="57">
        <v>2744.15</v>
      </c>
      <c r="J26" s="57"/>
      <c r="K26" s="57">
        <f t="shared" si="0"/>
        <v>2744.15</v>
      </c>
      <c r="L26" s="55"/>
      <c r="M26" s="100" t="s">
        <v>407</v>
      </c>
      <c r="N26" s="100" t="s">
        <v>410</v>
      </c>
    </row>
    <row r="27" spans="1:14" ht="15" customHeight="1" x14ac:dyDescent="0.25">
      <c r="A27" s="53" t="s">
        <v>132</v>
      </c>
      <c r="B27" s="54">
        <v>46031</v>
      </c>
      <c r="C27" s="55"/>
      <c r="D27" s="55" t="s">
        <v>138</v>
      </c>
      <c r="E27" s="55"/>
      <c r="F27" s="55"/>
      <c r="G27" s="55"/>
      <c r="H27" s="56"/>
      <c r="I27" s="57">
        <v>131.53</v>
      </c>
      <c r="J27" s="57"/>
      <c r="K27" s="57">
        <f t="shared" si="0"/>
        <v>131.53</v>
      </c>
      <c r="L27" s="55"/>
      <c r="M27" s="100" t="s">
        <v>407</v>
      </c>
      <c r="N27" s="100" t="s">
        <v>410</v>
      </c>
    </row>
    <row r="28" spans="1:14" ht="15" customHeight="1" x14ac:dyDescent="0.25">
      <c r="A28" s="53" t="s">
        <v>132</v>
      </c>
      <c r="B28" s="54">
        <v>46034</v>
      </c>
      <c r="C28" s="55"/>
      <c r="D28" s="55" t="s">
        <v>143</v>
      </c>
      <c r="E28" s="55"/>
      <c r="F28" s="55"/>
      <c r="G28" s="55"/>
      <c r="H28" s="56"/>
      <c r="I28" s="57">
        <v>2837.31</v>
      </c>
      <c r="J28" s="57"/>
      <c r="K28" s="57">
        <f t="shared" si="0"/>
        <v>2837.31</v>
      </c>
      <c r="L28" s="55"/>
      <c r="M28" s="100" t="s">
        <v>407</v>
      </c>
      <c r="N28" s="100" t="s">
        <v>410</v>
      </c>
    </row>
    <row r="29" spans="1:14" ht="15" customHeight="1" x14ac:dyDescent="0.25">
      <c r="A29" s="53" t="s">
        <v>132</v>
      </c>
      <c r="B29" s="54">
        <v>46034</v>
      </c>
      <c r="C29" s="55"/>
      <c r="D29" s="55" t="s">
        <v>133</v>
      </c>
      <c r="E29" s="55"/>
      <c r="F29" s="55"/>
      <c r="G29" s="55"/>
      <c r="H29" s="56"/>
      <c r="I29" s="57">
        <v>265.7</v>
      </c>
      <c r="J29" s="57"/>
      <c r="K29" s="57">
        <f t="shared" si="0"/>
        <v>265.7</v>
      </c>
      <c r="L29" s="55"/>
      <c r="M29" s="100" t="s">
        <v>407</v>
      </c>
      <c r="N29" s="100" t="s">
        <v>410</v>
      </c>
    </row>
    <row r="30" spans="1:14" ht="15" customHeight="1" x14ac:dyDescent="0.25">
      <c r="A30" s="53" t="s">
        <v>132</v>
      </c>
      <c r="B30" s="54">
        <v>46034</v>
      </c>
      <c r="C30" s="55"/>
      <c r="D30" s="55" t="s">
        <v>144</v>
      </c>
      <c r="E30" s="55"/>
      <c r="F30" s="55"/>
      <c r="G30" s="55"/>
      <c r="H30" s="56"/>
      <c r="I30" s="57">
        <v>3450</v>
      </c>
      <c r="J30" s="57"/>
      <c r="K30" s="57">
        <f t="shared" si="0"/>
        <v>3450</v>
      </c>
      <c r="L30" s="55"/>
      <c r="M30" s="100" t="s">
        <v>407</v>
      </c>
      <c r="N30" s="100" t="s">
        <v>410</v>
      </c>
    </row>
    <row r="31" spans="1:14" ht="15" customHeight="1" x14ac:dyDescent="0.25">
      <c r="A31" s="53" t="s">
        <v>132</v>
      </c>
      <c r="B31" s="54">
        <v>46035</v>
      </c>
      <c r="C31" s="55"/>
      <c r="D31" s="55" t="s">
        <v>137</v>
      </c>
      <c r="E31" s="55"/>
      <c r="F31" s="55"/>
      <c r="G31" s="55"/>
      <c r="H31" s="56"/>
      <c r="I31" s="57">
        <v>14526.89</v>
      </c>
      <c r="J31" s="57"/>
      <c r="K31" s="57">
        <f t="shared" si="0"/>
        <v>14526.89</v>
      </c>
      <c r="L31" s="55"/>
      <c r="M31" s="100" t="s">
        <v>407</v>
      </c>
      <c r="N31" s="100" t="s">
        <v>410</v>
      </c>
    </row>
    <row r="32" spans="1:14" ht="15" customHeight="1" x14ac:dyDescent="0.25">
      <c r="A32" s="53" t="s">
        <v>132</v>
      </c>
      <c r="B32" s="54">
        <v>46036</v>
      </c>
      <c r="C32" s="55"/>
      <c r="D32" s="55" t="s">
        <v>139</v>
      </c>
      <c r="E32" s="55"/>
      <c r="F32" s="55"/>
      <c r="G32" s="55"/>
      <c r="H32" s="56"/>
      <c r="I32" s="57">
        <v>2202.44</v>
      </c>
      <c r="J32" s="57"/>
      <c r="K32" s="57">
        <f t="shared" si="0"/>
        <v>2202.44</v>
      </c>
      <c r="L32" s="55"/>
      <c r="M32" s="100" t="s">
        <v>407</v>
      </c>
      <c r="N32" s="100" t="s">
        <v>410</v>
      </c>
    </row>
    <row r="33" spans="1:14" ht="15" customHeight="1" x14ac:dyDescent="0.25">
      <c r="A33" s="53" t="s">
        <v>132</v>
      </c>
      <c r="B33" s="54">
        <v>46037</v>
      </c>
      <c r="C33" s="55"/>
      <c r="D33" s="55" t="s">
        <v>145</v>
      </c>
      <c r="E33" s="55"/>
      <c r="F33" s="55"/>
      <c r="G33" s="55"/>
      <c r="H33" s="56"/>
      <c r="I33" s="57">
        <v>1912.32</v>
      </c>
      <c r="J33" s="57"/>
      <c r="K33" s="57">
        <f t="shared" si="0"/>
        <v>1912.32</v>
      </c>
      <c r="L33" s="55"/>
      <c r="M33" s="100" t="s">
        <v>407</v>
      </c>
      <c r="N33" s="100" t="s">
        <v>410</v>
      </c>
    </row>
    <row r="34" spans="1:14" ht="15" customHeight="1" x14ac:dyDescent="0.25">
      <c r="A34" s="53" t="s">
        <v>132</v>
      </c>
      <c r="B34" s="54">
        <v>46037</v>
      </c>
      <c r="C34" s="55"/>
      <c r="D34" s="55" t="s">
        <v>134</v>
      </c>
      <c r="E34" s="55"/>
      <c r="F34" s="55"/>
      <c r="G34" s="55"/>
      <c r="H34" s="56"/>
      <c r="I34" s="57">
        <v>2870.2</v>
      </c>
      <c r="J34" s="57"/>
      <c r="K34" s="57">
        <f t="shared" si="0"/>
        <v>2870.2</v>
      </c>
      <c r="L34" s="55"/>
      <c r="M34" s="100" t="s">
        <v>407</v>
      </c>
      <c r="N34" s="100" t="s">
        <v>410</v>
      </c>
    </row>
    <row r="35" spans="1:14" ht="15" customHeight="1" x14ac:dyDescent="0.25">
      <c r="A35" s="53" t="s">
        <v>132</v>
      </c>
      <c r="B35" s="54">
        <v>46037</v>
      </c>
      <c r="C35" s="55"/>
      <c r="D35" s="55" t="s">
        <v>146</v>
      </c>
      <c r="E35" s="55"/>
      <c r="F35" s="55"/>
      <c r="G35" s="55"/>
      <c r="H35" s="56"/>
      <c r="I35" s="57">
        <v>2592.12</v>
      </c>
      <c r="J35" s="57"/>
      <c r="K35" s="57">
        <f t="shared" si="0"/>
        <v>2592.12</v>
      </c>
      <c r="L35" s="55"/>
      <c r="M35" s="100" t="s">
        <v>407</v>
      </c>
      <c r="N35" s="100" t="s">
        <v>410</v>
      </c>
    </row>
    <row r="36" spans="1:14" ht="15" customHeight="1" x14ac:dyDescent="0.25">
      <c r="A36" s="53" t="s">
        <v>132</v>
      </c>
      <c r="B36" s="54">
        <v>46038</v>
      </c>
      <c r="C36" s="55"/>
      <c r="D36" s="55" t="s">
        <v>134</v>
      </c>
      <c r="E36" s="55"/>
      <c r="F36" s="55"/>
      <c r="G36" s="55"/>
      <c r="H36" s="56"/>
      <c r="I36" s="57">
        <v>4036.33</v>
      </c>
      <c r="J36" s="57"/>
      <c r="K36" s="57">
        <f t="shared" si="0"/>
        <v>4036.33</v>
      </c>
      <c r="L36" s="55"/>
      <c r="M36" s="100" t="s">
        <v>407</v>
      </c>
      <c r="N36" s="100" t="s">
        <v>410</v>
      </c>
    </row>
    <row r="37" spans="1:14" ht="15" customHeight="1" x14ac:dyDescent="0.25">
      <c r="A37" s="58" t="s">
        <v>136</v>
      </c>
      <c r="B37" s="59">
        <v>46038</v>
      </c>
      <c r="C37" s="59">
        <v>46038</v>
      </c>
      <c r="D37" s="60" t="s">
        <v>133</v>
      </c>
      <c r="E37" s="60" t="s">
        <v>17</v>
      </c>
      <c r="F37" s="60"/>
      <c r="G37" s="60" t="s">
        <v>12</v>
      </c>
      <c r="H37" s="61">
        <v>55.52</v>
      </c>
      <c r="I37" s="62">
        <v>360.32</v>
      </c>
      <c r="J37" s="62">
        <v>360.32</v>
      </c>
      <c r="K37" s="62">
        <f t="shared" si="0"/>
        <v>0</v>
      </c>
      <c r="L37" s="60"/>
      <c r="M37" s="100" t="s">
        <v>407</v>
      </c>
      <c r="N37" s="100" t="s">
        <v>410</v>
      </c>
    </row>
    <row r="38" spans="1:14" ht="15" customHeight="1" x14ac:dyDescent="0.25">
      <c r="A38" s="58" t="s">
        <v>136</v>
      </c>
      <c r="B38" s="59">
        <v>46038</v>
      </c>
      <c r="C38" s="59">
        <v>46038</v>
      </c>
      <c r="D38" s="60" t="s">
        <v>138</v>
      </c>
      <c r="E38" s="60" t="s">
        <v>16</v>
      </c>
      <c r="F38" s="60"/>
      <c r="G38" s="60" t="s">
        <v>10</v>
      </c>
      <c r="H38" s="61">
        <v>363</v>
      </c>
      <c r="I38" s="62">
        <v>2047.32</v>
      </c>
      <c r="J38" s="62">
        <v>2047.32</v>
      </c>
      <c r="K38" s="62">
        <f t="shared" si="0"/>
        <v>0</v>
      </c>
      <c r="L38" s="60"/>
      <c r="M38" s="100" t="s">
        <v>407</v>
      </c>
      <c r="N38" s="100" t="s">
        <v>410</v>
      </c>
    </row>
    <row r="39" spans="1:14" ht="15" customHeight="1" x14ac:dyDescent="0.25">
      <c r="A39" s="63" t="s">
        <v>142</v>
      </c>
      <c r="B39" s="64">
        <v>46038</v>
      </c>
      <c r="C39" s="64">
        <v>46038</v>
      </c>
      <c r="D39" s="65" t="s">
        <v>138</v>
      </c>
      <c r="E39" s="65" t="s">
        <v>16</v>
      </c>
      <c r="F39" s="65"/>
      <c r="G39" s="65" t="s">
        <v>10</v>
      </c>
      <c r="H39" s="66">
        <v>384.09</v>
      </c>
      <c r="I39" s="67">
        <v>2166.2800000000002</v>
      </c>
      <c r="J39" s="67">
        <v>2166.27</v>
      </c>
      <c r="K39" s="67">
        <f t="shared" si="0"/>
        <v>1.0000000000218279E-2</v>
      </c>
      <c r="L39" s="65"/>
      <c r="M39" s="100" t="s">
        <v>407</v>
      </c>
      <c r="N39" s="100" t="s">
        <v>410</v>
      </c>
    </row>
    <row r="40" spans="1:14" ht="15" customHeight="1" x14ac:dyDescent="0.25">
      <c r="A40" s="53" t="s">
        <v>132</v>
      </c>
      <c r="B40" s="54">
        <v>46038</v>
      </c>
      <c r="C40" s="55"/>
      <c r="D40" s="55" t="s">
        <v>134</v>
      </c>
      <c r="E40" s="55"/>
      <c r="F40" s="55"/>
      <c r="G40" s="55"/>
      <c r="H40" s="56"/>
      <c r="I40" s="57">
        <v>3742.2</v>
      </c>
      <c r="J40" s="57"/>
      <c r="K40" s="57">
        <f t="shared" si="0"/>
        <v>3742.2</v>
      </c>
      <c r="L40" s="55"/>
      <c r="M40" s="100" t="s">
        <v>407</v>
      </c>
      <c r="N40" s="100" t="s">
        <v>410</v>
      </c>
    </row>
    <row r="41" spans="1:14" ht="15" customHeight="1" x14ac:dyDescent="0.25">
      <c r="A41" s="53" t="s">
        <v>132</v>
      </c>
      <c r="B41" s="54">
        <v>46039</v>
      </c>
      <c r="C41" s="55"/>
      <c r="D41" s="55" t="s">
        <v>134</v>
      </c>
      <c r="E41" s="55"/>
      <c r="F41" s="55"/>
      <c r="G41" s="55"/>
      <c r="H41" s="56"/>
      <c r="I41" s="57">
        <v>3985.66</v>
      </c>
      <c r="J41" s="57"/>
      <c r="K41" s="57">
        <f t="shared" si="0"/>
        <v>3985.66</v>
      </c>
      <c r="L41" s="55"/>
      <c r="M41" s="100" t="s">
        <v>407</v>
      </c>
      <c r="N41" s="100" t="s">
        <v>410</v>
      </c>
    </row>
    <row r="42" spans="1:14" ht="15" customHeight="1" x14ac:dyDescent="0.25">
      <c r="A42" s="53" t="s">
        <v>132</v>
      </c>
      <c r="B42" s="54">
        <v>46039</v>
      </c>
      <c r="C42" s="55"/>
      <c r="D42" s="55" t="s">
        <v>147</v>
      </c>
      <c r="E42" s="55"/>
      <c r="F42" s="55"/>
      <c r="G42" s="55"/>
      <c r="H42" s="56"/>
      <c r="I42" s="57">
        <v>2512.1799999999998</v>
      </c>
      <c r="J42" s="57"/>
      <c r="K42" s="57">
        <f t="shared" si="0"/>
        <v>2512.1799999999998</v>
      </c>
      <c r="L42" s="55"/>
      <c r="M42" s="100" t="s">
        <v>407</v>
      </c>
      <c r="N42" s="100" t="s">
        <v>410</v>
      </c>
    </row>
    <row r="43" spans="1:14" ht="15" customHeight="1" x14ac:dyDescent="0.25">
      <c r="A43" s="53" t="s">
        <v>132</v>
      </c>
      <c r="B43" s="54">
        <v>46039</v>
      </c>
      <c r="C43" s="55"/>
      <c r="D43" s="55" t="s">
        <v>148</v>
      </c>
      <c r="E43" s="55"/>
      <c r="F43" s="55"/>
      <c r="G43" s="55"/>
      <c r="H43" s="56"/>
      <c r="I43" s="57">
        <v>3781.76</v>
      </c>
      <c r="J43" s="57"/>
      <c r="K43" s="57">
        <f t="shared" si="0"/>
        <v>3781.76</v>
      </c>
      <c r="L43" s="55"/>
      <c r="M43" s="100" t="s">
        <v>407</v>
      </c>
      <c r="N43" s="100" t="s">
        <v>410</v>
      </c>
    </row>
    <row r="44" spans="1:14" ht="15" customHeight="1" x14ac:dyDescent="0.25">
      <c r="A44" s="53" t="s">
        <v>132</v>
      </c>
      <c r="B44" s="54">
        <v>46041</v>
      </c>
      <c r="C44" s="55"/>
      <c r="D44" s="55" t="s">
        <v>143</v>
      </c>
      <c r="E44" s="55"/>
      <c r="F44" s="55"/>
      <c r="G44" s="55"/>
      <c r="H44" s="56"/>
      <c r="I44" s="57">
        <v>3510</v>
      </c>
      <c r="J44" s="57"/>
      <c r="K44" s="57">
        <f t="shared" si="0"/>
        <v>3510</v>
      </c>
      <c r="L44" s="55"/>
      <c r="M44" s="100" t="s">
        <v>407</v>
      </c>
      <c r="N44" s="100" t="s">
        <v>410</v>
      </c>
    </row>
    <row r="45" spans="1:14" ht="15" customHeight="1" x14ac:dyDescent="0.25">
      <c r="A45" s="58" t="s">
        <v>136</v>
      </c>
      <c r="B45" s="59">
        <v>46041</v>
      </c>
      <c r="C45" s="59">
        <v>46039</v>
      </c>
      <c r="D45" s="60" t="s">
        <v>146</v>
      </c>
      <c r="E45" s="60" t="s">
        <v>19</v>
      </c>
      <c r="F45" s="60"/>
      <c r="G45" s="60" t="s">
        <v>10</v>
      </c>
      <c r="H45" s="61">
        <v>515</v>
      </c>
      <c r="I45" s="62">
        <v>2992.15</v>
      </c>
      <c r="J45" s="62">
        <v>2992.15</v>
      </c>
      <c r="K45" s="62">
        <f t="shared" si="0"/>
        <v>0</v>
      </c>
      <c r="L45" s="60"/>
      <c r="M45" s="100" t="s">
        <v>407</v>
      </c>
      <c r="N45" s="100" t="s">
        <v>410</v>
      </c>
    </row>
    <row r="46" spans="1:14" ht="15" customHeight="1" x14ac:dyDescent="0.25">
      <c r="A46" s="63" t="s">
        <v>142</v>
      </c>
      <c r="B46" s="64">
        <v>46041</v>
      </c>
      <c r="C46" s="64">
        <v>46041</v>
      </c>
      <c r="D46" s="65" t="s">
        <v>138</v>
      </c>
      <c r="E46" s="65" t="s">
        <v>16</v>
      </c>
      <c r="F46" s="65"/>
      <c r="G46" s="65" t="s">
        <v>10</v>
      </c>
      <c r="H46" s="66">
        <v>461.75</v>
      </c>
      <c r="I46" s="67">
        <v>2604.2800000000002</v>
      </c>
      <c r="J46" s="67">
        <v>2604.27</v>
      </c>
      <c r="K46" s="67">
        <f t="shared" si="0"/>
        <v>1.0000000000218279E-2</v>
      </c>
      <c r="L46" s="65"/>
      <c r="M46" s="100" t="s">
        <v>407</v>
      </c>
      <c r="N46" s="100" t="s">
        <v>410</v>
      </c>
    </row>
    <row r="47" spans="1:14" ht="15" customHeight="1" x14ac:dyDescent="0.25">
      <c r="A47" s="58" t="s">
        <v>136</v>
      </c>
      <c r="B47" s="59">
        <v>46041</v>
      </c>
      <c r="C47" s="59">
        <v>46041</v>
      </c>
      <c r="D47" s="60" t="s">
        <v>138</v>
      </c>
      <c r="E47" s="60" t="s">
        <v>16</v>
      </c>
      <c r="F47" s="60"/>
      <c r="G47" s="60" t="s">
        <v>11</v>
      </c>
      <c r="H47" s="61">
        <v>350.01</v>
      </c>
      <c r="I47" s="62">
        <v>1956.56</v>
      </c>
      <c r="J47" s="62">
        <v>1956.56</v>
      </c>
      <c r="K47" s="62">
        <f t="shared" si="0"/>
        <v>0</v>
      </c>
      <c r="L47" s="60"/>
      <c r="M47" s="100" t="s">
        <v>407</v>
      </c>
      <c r="N47" s="100" t="s">
        <v>410</v>
      </c>
    </row>
    <row r="48" spans="1:14" ht="15" customHeight="1" x14ac:dyDescent="0.25">
      <c r="A48" s="53" t="s">
        <v>132</v>
      </c>
      <c r="B48" s="54">
        <v>46041</v>
      </c>
      <c r="C48" s="55"/>
      <c r="D48" s="55" t="s">
        <v>137</v>
      </c>
      <c r="E48" s="55"/>
      <c r="F48" s="55"/>
      <c r="G48" s="55"/>
      <c r="H48" s="56"/>
      <c r="I48" s="57">
        <v>14515.75</v>
      </c>
      <c r="J48" s="57"/>
      <c r="K48" s="57">
        <f t="shared" si="0"/>
        <v>14515.75</v>
      </c>
      <c r="L48" s="55"/>
      <c r="M48" s="100" t="s">
        <v>407</v>
      </c>
      <c r="N48" s="100" t="s">
        <v>410</v>
      </c>
    </row>
    <row r="49" spans="1:14" ht="15" customHeight="1" x14ac:dyDescent="0.25">
      <c r="A49" s="53" t="s">
        <v>132</v>
      </c>
      <c r="B49" s="54">
        <v>46041</v>
      </c>
      <c r="C49" s="55"/>
      <c r="D49" s="55" t="s">
        <v>134</v>
      </c>
      <c r="E49" s="55"/>
      <c r="F49" s="55"/>
      <c r="G49" s="55"/>
      <c r="H49" s="56"/>
      <c r="I49" s="57">
        <v>2870.2</v>
      </c>
      <c r="J49" s="57"/>
      <c r="K49" s="57">
        <f t="shared" si="0"/>
        <v>2870.2</v>
      </c>
      <c r="L49" s="55"/>
      <c r="M49" s="100" t="s">
        <v>407</v>
      </c>
      <c r="N49" s="100" t="s">
        <v>410</v>
      </c>
    </row>
    <row r="50" spans="1:14" ht="15" customHeight="1" x14ac:dyDescent="0.25">
      <c r="A50" s="53" t="s">
        <v>132</v>
      </c>
      <c r="B50" s="54">
        <v>46042</v>
      </c>
      <c r="C50" s="55"/>
      <c r="D50" s="55" t="s">
        <v>134</v>
      </c>
      <c r="E50" s="55"/>
      <c r="F50" s="55"/>
      <c r="G50" s="55"/>
      <c r="H50" s="56"/>
      <c r="I50" s="57">
        <v>1952.16</v>
      </c>
      <c r="J50" s="57"/>
      <c r="K50" s="57">
        <f t="shared" si="0"/>
        <v>1952.16</v>
      </c>
      <c r="L50" s="55"/>
      <c r="M50" s="100" t="s">
        <v>407</v>
      </c>
      <c r="N50" s="100" t="s">
        <v>410</v>
      </c>
    </row>
    <row r="51" spans="1:14" ht="15" customHeight="1" x14ac:dyDescent="0.25">
      <c r="A51" s="58" t="s">
        <v>136</v>
      </c>
      <c r="B51" s="59">
        <v>46042</v>
      </c>
      <c r="C51" s="59">
        <v>46042</v>
      </c>
      <c r="D51" s="60" t="s">
        <v>138</v>
      </c>
      <c r="E51" s="60" t="s">
        <v>16</v>
      </c>
      <c r="F51" s="60"/>
      <c r="G51" s="60" t="s">
        <v>10</v>
      </c>
      <c r="H51" s="61">
        <v>570.01</v>
      </c>
      <c r="I51" s="62">
        <v>3214.86</v>
      </c>
      <c r="J51" s="62">
        <v>3214.86</v>
      </c>
      <c r="K51" s="62">
        <f t="shared" si="0"/>
        <v>0</v>
      </c>
      <c r="L51" s="60"/>
      <c r="M51" s="100" t="s">
        <v>407</v>
      </c>
      <c r="N51" s="100" t="s">
        <v>410</v>
      </c>
    </row>
    <row r="52" spans="1:14" ht="15" customHeight="1" x14ac:dyDescent="0.25">
      <c r="A52" s="53" t="s">
        <v>132</v>
      </c>
      <c r="B52" s="54">
        <v>46043</v>
      </c>
      <c r="C52" s="55"/>
      <c r="D52" s="55" t="s">
        <v>135</v>
      </c>
      <c r="E52" s="55"/>
      <c r="F52" s="55"/>
      <c r="G52" s="55"/>
      <c r="H52" s="56"/>
      <c r="I52" s="57">
        <v>2095.02</v>
      </c>
      <c r="J52" s="57"/>
      <c r="K52" s="57">
        <f t="shared" si="0"/>
        <v>2095.02</v>
      </c>
      <c r="L52" s="55"/>
      <c r="M52" s="100" t="s">
        <v>407</v>
      </c>
      <c r="N52" s="100" t="s">
        <v>410</v>
      </c>
    </row>
    <row r="53" spans="1:14" ht="15" customHeight="1" x14ac:dyDescent="0.25">
      <c r="A53" s="53" t="s">
        <v>132</v>
      </c>
      <c r="B53" s="54">
        <v>46043</v>
      </c>
      <c r="C53" s="55"/>
      <c r="D53" s="55" t="s">
        <v>149</v>
      </c>
      <c r="E53" s="55"/>
      <c r="F53" s="55"/>
      <c r="G53" s="55"/>
      <c r="H53" s="56"/>
      <c r="I53" s="57">
        <v>2160.06</v>
      </c>
      <c r="J53" s="57"/>
      <c r="K53" s="57">
        <f t="shared" si="0"/>
        <v>2160.06</v>
      </c>
      <c r="L53" s="55"/>
      <c r="M53" s="100" t="s">
        <v>407</v>
      </c>
      <c r="N53" s="100" t="s">
        <v>410</v>
      </c>
    </row>
    <row r="54" spans="1:14" ht="15" customHeight="1" x14ac:dyDescent="0.25">
      <c r="A54" s="58" t="s">
        <v>136</v>
      </c>
      <c r="B54" s="59">
        <v>46044</v>
      </c>
      <c r="C54" s="59">
        <v>46044</v>
      </c>
      <c r="D54" s="60" t="s">
        <v>138</v>
      </c>
      <c r="E54" s="60" t="s">
        <v>16</v>
      </c>
      <c r="F54" s="60"/>
      <c r="G54" s="60" t="s">
        <v>10</v>
      </c>
      <c r="H54" s="61">
        <v>420</v>
      </c>
      <c r="I54" s="62">
        <v>2347.8000000000002</v>
      </c>
      <c r="J54" s="62">
        <v>2347.8000000000002</v>
      </c>
      <c r="K54" s="62">
        <f t="shared" si="0"/>
        <v>0</v>
      </c>
      <c r="L54" s="60"/>
      <c r="M54" s="100" t="s">
        <v>407</v>
      </c>
      <c r="N54" s="100" t="s">
        <v>410</v>
      </c>
    </row>
    <row r="55" spans="1:14" ht="15" customHeight="1" x14ac:dyDescent="0.25">
      <c r="A55" s="63" t="s">
        <v>142</v>
      </c>
      <c r="B55" s="64">
        <v>46044</v>
      </c>
      <c r="C55" s="64">
        <v>46044</v>
      </c>
      <c r="D55" s="65" t="s">
        <v>133</v>
      </c>
      <c r="E55" s="65" t="s">
        <v>17</v>
      </c>
      <c r="F55" s="65"/>
      <c r="G55" s="65" t="s">
        <v>10</v>
      </c>
      <c r="H55" s="66">
        <v>317.02999999999997</v>
      </c>
      <c r="I55" s="67">
        <v>1867.34</v>
      </c>
      <c r="J55" s="67">
        <v>1867.31</v>
      </c>
      <c r="K55" s="67">
        <f t="shared" si="0"/>
        <v>2.9999999999972715E-2</v>
      </c>
      <c r="L55" s="65"/>
      <c r="M55" s="100" t="s">
        <v>407</v>
      </c>
      <c r="N55" s="100" t="s">
        <v>410</v>
      </c>
    </row>
    <row r="56" spans="1:14" ht="15" customHeight="1" x14ac:dyDescent="0.25">
      <c r="A56" s="58" t="s">
        <v>136</v>
      </c>
      <c r="B56" s="59">
        <v>46044</v>
      </c>
      <c r="C56" s="59">
        <v>46044</v>
      </c>
      <c r="D56" s="60" t="s">
        <v>138</v>
      </c>
      <c r="E56" s="60" t="s">
        <v>16</v>
      </c>
      <c r="F56" s="60"/>
      <c r="G56" s="60" t="s">
        <v>10</v>
      </c>
      <c r="H56" s="61">
        <v>519</v>
      </c>
      <c r="I56" s="62">
        <v>2927.16</v>
      </c>
      <c r="J56" s="62">
        <v>2927.16</v>
      </c>
      <c r="K56" s="62">
        <f t="shared" si="0"/>
        <v>0</v>
      </c>
      <c r="L56" s="60"/>
      <c r="M56" s="100" t="s">
        <v>407</v>
      </c>
      <c r="N56" s="100" t="s">
        <v>410</v>
      </c>
    </row>
    <row r="57" spans="1:14" ht="15" customHeight="1" x14ac:dyDescent="0.25">
      <c r="A57" s="53" t="s">
        <v>132</v>
      </c>
      <c r="B57" s="54">
        <v>46044</v>
      </c>
      <c r="C57" s="55"/>
      <c r="D57" s="55" t="s">
        <v>141</v>
      </c>
      <c r="E57" s="55"/>
      <c r="F57" s="55"/>
      <c r="G57" s="55"/>
      <c r="H57" s="56"/>
      <c r="I57" s="57">
        <v>3160</v>
      </c>
      <c r="J57" s="57"/>
      <c r="K57" s="57">
        <f t="shared" si="0"/>
        <v>3160</v>
      </c>
      <c r="L57" s="55"/>
      <c r="M57" s="100" t="s">
        <v>407</v>
      </c>
      <c r="N57" s="100" t="s">
        <v>410</v>
      </c>
    </row>
    <row r="58" spans="1:14" ht="15" customHeight="1" x14ac:dyDescent="0.25">
      <c r="A58" s="58" t="s">
        <v>136</v>
      </c>
      <c r="B58" s="59">
        <v>46045</v>
      </c>
      <c r="C58" s="59">
        <v>46045</v>
      </c>
      <c r="D58" s="60" t="s">
        <v>138</v>
      </c>
      <c r="E58" s="60" t="s">
        <v>16</v>
      </c>
      <c r="F58" s="60"/>
      <c r="G58" s="60" t="s">
        <v>10</v>
      </c>
      <c r="H58" s="61">
        <v>370.01</v>
      </c>
      <c r="I58" s="62">
        <v>2086.86</v>
      </c>
      <c r="J58" s="62">
        <v>2086.86</v>
      </c>
      <c r="K58" s="62">
        <f t="shared" si="0"/>
        <v>0</v>
      </c>
      <c r="L58" s="60"/>
      <c r="M58" s="100" t="s">
        <v>407</v>
      </c>
      <c r="N58" s="100" t="s">
        <v>410</v>
      </c>
    </row>
    <row r="59" spans="1:14" ht="15" customHeight="1" x14ac:dyDescent="0.25">
      <c r="A59" s="58" t="s">
        <v>136</v>
      </c>
      <c r="B59" s="59">
        <v>46045</v>
      </c>
      <c r="C59" s="59">
        <v>46045</v>
      </c>
      <c r="D59" s="60" t="s">
        <v>133</v>
      </c>
      <c r="E59" s="60" t="s">
        <v>17</v>
      </c>
      <c r="F59" s="60"/>
      <c r="G59" s="60" t="s">
        <v>10</v>
      </c>
      <c r="H59" s="61">
        <v>375.02</v>
      </c>
      <c r="I59" s="62">
        <v>2208.87</v>
      </c>
      <c r="J59" s="62">
        <v>2208.87</v>
      </c>
      <c r="K59" s="62">
        <f t="shared" si="0"/>
        <v>0</v>
      </c>
      <c r="L59" s="60"/>
      <c r="M59" s="100" t="s">
        <v>407</v>
      </c>
      <c r="N59" s="100" t="s">
        <v>410</v>
      </c>
    </row>
    <row r="60" spans="1:14" ht="15" customHeight="1" x14ac:dyDescent="0.25">
      <c r="A60" s="58" t="s">
        <v>136</v>
      </c>
      <c r="B60" s="59">
        <v>46045</v>
      </c>
      <c r="C60" s="59">
        <v>46045</v>
      </c>
      <c r="D60" s="60" t="s">
        <v>133</v>
      </c>
      <c r="E60" s="60" t="s">
        <v>17</v>
      </c>
      <c r="F60" s="60"/>
      <c r="G60" s="60" t="s">
        <v>10</v>
      </c>
      <c r="H60" s="61">
        <v>189.18</v>
      </c>
      <c r="I60" s="62">
        <v>1114.27</v>
      </c>
      <c r="J60" s="62">
        <v>1114.27</v>
      </c>
      <c r="K60" s="62">
        <f t="shared" si="0"/>
        <v>0</v>
      </c>
      <c r="L60" s="60"/>
      <c r="M60" s="100" t="s">
        <v>407</v>
      </c>
      <c r="N60" s="100" t="s">
        <v>410</v>
      </c>
    </row>
    <row r="61" spans="1:14" ht="15" customHeight="1" x14ac:dyDescent="0.25">
      <c r="A61" s="58" t="s">
        <v>136</v>
      </c>
      <c r="B61" s="59">
        <v>46045</v>
      </c>
      <c r="C61" s="59">
        <v>46045</v>
      </c>
      <c r="D61" s="60" t="s">
        <v>133</v>
      </c>
      <c r="E61" s="60" t="s">
        <v>17</v>
      </c>
      <c r="F61" s="60"/>
      <c r="G61" s="60" t="s">
        <v>12</v>
      </c>
      <c r="H61" s="61">
        <v>39.04</v>
      </c>
      <c r="I61" s="62">
        <v>253.37</v>
      </c>
      <c r="J61" s="62">
        <v>253.37</v>
      </c>
      <c r="K61" s="62">
        <f t="shared" si="0"/>
        <v>0</v>
      </c>
      <c r="L61" s="60"/>
      <c r="M61" s="100" t="s">
        <v>407</v>
      </c>
      <c r="N61" s="100" t="s">
        <v>410</v>
      </c>
    </row>
    <row r="62" spans="1:14" ht="15" customHeight="1" x14ac:dyDescent="0.25">
      <c r="A62" s="58" t="s">
        <v>136</v>
      </c>
      <c r="B62" s="59">
        <v>46046</v>
      </c>
      <c r="C62" s="59">
        <v>46046</v>
      </c>
      <c r="D62" s="60" t="s">
        <v>138</v>
      </c>
      <c r="E62" s="60" t="s">
        <v>16</v>
      </c>
      <c r="F62" s="60"/>
      <c r="G62" s="60" t="s">
        <v>10</v>
      </c>
      <c r="H62" s="61">
        <v>466.01</v>
      </c>
      <c r="I62" s="62">
        <v>2628.3</v>
      </c>
      <c r="J62" s="62">
        <v>2628.3</v>
      </c>
      <c r="K62" s="62">
        <f t="shared" si="0"/>
        <v>0</v>
      </c>
      <c r="L62" s="60"/>
      <c r="M62" s="100" t="s">
        <v>407</v>
      </c>
      <c r="N62" s="100" t="s">
        <v>410</v>
      </c>
    </row>
    <row r="63" spans="1:14" ht="15" customHeight="1" x14ac:dyDescent="0.25">
      <c r="A63" s="58" t="s">
        <v>136</v>
      </c>
      <c r="B63" s="59">
        <v>46046</v>
      </c>
      <c r="C63" s="59">
        <v>46046</v>
      </c>
      <c r="D63" s="60" t="s">
        <v>138</v>
      </c>
      <c r="E63" s="60" t="s">
        <v>16</v>
      </c>
      <c r="F63" s="60"/>
      <c r="G63" s="60" t="s">
        <v>11</v>
      </c>
      <c r="H63" s="61">
        <v>371</v>
      </c>
      <c r="I63" s="62">
        <v>2073.89</v>
      </c>
      <c r="J63" s="62">
        <v>2073.89</v>
      </c>
      <c r="K63" s="62">
        <f t="shared" si="0"/>
        <v>0</v>
      </c>
      <c r="L63" s="60"/>
      <c r="M63" s="100" t="s">
        <v>407</v>
      </c>
      <c r="N63" s="100" t="s">
        <v>410</v>
      </c>
    </row>
    <row r="64" spans="1:14" ht="15" customHeight="1" x14ac:dyDescent="0.25">
      <c r="A64" s="53" t="s">
        <v>132</v>
      </c>
      <c r="B64" s="54">
        <v>46046</v>
      </c>
      <c r="C64" s="55"/>
      <c r="D64" s="55" t="s">
        <v>150</v>
      </c>
      <c r="E64" s="55"/>
      <c r="F64" s="55"/>
      <c r="G64" s="55"/>
      <c r="H64" s="56"/>
      <c r="I64" s="57">
        <v>3745.08</v>
      </c>
      <c r="J64" s="57"/>
      <c r="K64" s="57">
        <f t="shared" si="0"/>
        <v>3745.08</v>
      </c>
      <c r="L64" s="55"/>
      <c r="M64" s="100" t="s">
        <v>407</v>
      </c>
      <c r="N64" s="100" t="s">
        <v>410</v>
      </c>
    </row>
    <row r="65" spans="1:14" ht="15" customHeight="1" x14ac:dyDescent="0.25">
      <c r="A65" s="58" t="s">
        <v>136</v>
      </c>
      <c r="B65" s="59">
        <v>46046</v>
      </c>
      <c r="C65" s="59">
        <v>46046</v>
      </c>
      <c r="D65" s="60" t="s">
        <v>138</v>
      </c>
      <c r="E65" s="60" t="s">
        <v>16</v>
      </c>
      <c r="F65" s="60"/>
      <c r="G65" s="60" t="s">
        <v>11</v>
      </c>
      <c r="H65" s="61">
        <v>425</v>
      </c>
      <c r="I65" s="62">
        <v>2375.75</v>
      </c>
      <c r="J65" s="62">
        <v>2375.75</v>
      </c>
      <c r="K65" s="62">
        <f t="shared" si="0"/>
        <v>0</v>
      </c>
      <c r="L65" s="60"/>
      <c r="M65" s="100" t="s">
        <v>407</v>
      </c>
      <c r="N65" s="100" t="s">
        <v>410</v>
      </c>
    </row>
    <row r="66" spans="1:14" ht="15" customHeight="1" x14ac:dyDescent="0.25">
      <c r="A66" s="58" t="s">
        <v>136</v>
      </c>
      <c r="B66" s="59">
        <v>46047</v>
      </c>
      <c r="C66" s="59">
        <v>46047</v>
      </c>
      <c r="D66" s="60" t="s">
        <v>138</v>
      </c>
      <c r="E66" s="60" t="s">
        <v>16</v>
      </c>
      <c r="F66" s="60"/>
      <c r="G66" s="60" t="s">
        <v>10</v>
      </c>
      <c r="H66" s="61">
        <v>500.01</v>
      </c>
      <c r="I66" s="62">
        <v>2820.06</v>
      </c>
      <c r="J66" s="62">
        <v>2820.06</v>
      </c>
      <c r="K66" s="62">
        <f t="shared" si="0"/>
        <v>0</v>
      </c>
      <c r="L66" s="60"/>
      <c r="M66" s="100" t="s">
        <v>407</v>
      </c>
      <c r="N66" s="100" t="s">
        <v>410</v>
      </c>
    </row>
    <row r="67" spans="1:14" ht="15" customHeight="1" x14ac:dyDescent="0.25">
      <c r="A67" s="53" t="s">
        <v>132</v>
      </c>
      <c r="B67" s="54">
        <v>46048</v>
      </c>
      <c r="C67" s="55"/>
      <c r="D67" s="55" t="s">
        <v>137</v>
      </c>
      <c r="E67" s="55"/>
      <c r="F67" s="55"/>
      <c r="G67" s="55"/>
      <c r="H67" s="56"/>
      <c r="I67" s="57">
        <v>24081.13</v>
      </c>
      <c r="J67" s="57"/>
      <c r="K67" s="57">
        <f t="shared" si="0"/>
        <v>24081.13</v>
      </c>
      <c r="L67" s="55"/>
      <c r="M67" s="100" t="s">
        <v>407</v>
      </c>
      <c r="N67" s="100" t="s">
        <v>410</v>
      </c>
    </row>
    <row r="68" spans="1:14" ht="15" customHeight="1" x14ac:dyDescent="0.25">
      <c r="A68" s="58" t="s">
        <v>136</v>
      </c>
      <c r="B68" s="59">
        <v>46048</v>
      </c>
      <c r="C68" s="59">
        <v>46048</v>
      </c>
      <c r="D68" s="60" t="s">
        <v>138</v>
      </c>
      <c r="E68" s="60" t="s">
        <v>16</v>
      </c>
      <c r="F68" s="60"/>
      <c r="G68" s="60" t="s">
        <v>10</v>
      </c>
      <c r="H68" s="61">
        <v>434.73</v>
      </c>
      <c r="I68" s="62">
        <v>2451.88</v>
      </c>
      <c r="J68" s="62">
        <v>2451.88</v>
      </c>
      <c r="K68" s="62">
        <f t="shared" si="0"/>
        <v>0</v>
      </c>
      <c r="L68" s="60"/>
      <c r="M68" s="100" t="s">
        <v>407</v>
      </c>
      <c r="N68" s="100" t="s">
        <v>410</v>
      </c>
    </row>
    <row r="69" spans="1:14" ht="15" customHeight="1" x14ac:dyDescent="0.25">
      <c r="A69" s="58" t="s">
        <v>136</v>
      </c>
      <c r="B69" s="59">
        <v>46049</v>
      </c>
      <c r="C69" s="59">
        <v>46038</v>
      </c>
      <c r="D69" s="60" t="s">
        <v>133</v>
      </c>
      <c r="E69" s="60" t="s">
        <v>17</v>
      </c>
      <c r="F69" s="60"/>
      <c r="G69" s="60" t="s">
        <v>12</v>
      </c>
      <c r="H69" s="61">
        <v>23.95</v>
      </c>
      <c r="I69" s="62">
        <v>155.44</v>
      </c>
      <c r="J69" s="62">
        <v>155.44</v>
      </c>
      <c r="K69" s="62">
        <f t="shared" ref="K69:K132" si="1">IFERROR(I69-J69,"")</f>
        <v>0</v>
      </c>
      <c r="L69" s="60"/>
      <c r="M69" s="100" t="s">
        <v>407</v>
      </c>
      <c r="N69" s="100" t="s">
        <v>410</v>
      </c>
    </row>
    <row r="70" spans="1:14" ht="15" customHeight="1" x14ac:dyDescent="0.25">
      <c r="A70" s="58" t="s">
        <v>136</v>
      </c>
      <c r="B70" s="59">
        <v>46049</v>
      </c>
      <c r="C70" s="59">
        <v>46042</v>
      </c>
      <c r="D70" s="60" t="s">
        <v>133</v>
      </c>
      <c r="E70" s="60" t="s">
        <v>17</v>
      </c>
      <c r="F70" s="60"/>
      <c r="G70" s="60" t="s">
        <v>12</v>
      </c>
      <c r="H70" s="61">
        <v>23.12</v>
      </c>
      <c r="I70" s="62">
        <v>150.05000000000001</v>
      </c>
      <c r="J70" s="62">
        <v>150.05000000000001</v>
      </c>
      <c r="K70" s="62">
        <f t="shared" si="1"/>
        <v>0</v>
      </c>
      <c r="L70" s="60"/>
      <c r="M70" s="100" t="s">
        <v>407</v>
      </c>
      <c r="N70" s="100" t="s">
        <v>410</v>
      </c>
    </row>
    <row r="71" spans="1:14" ht="15" customHeight="1" x14ac:dyDescent="0.25">
      <c r="A71" s="53" t="s">
        <v>132</v>
      </c>
      <c r="B71" s="54">
        <v>46049</v>
      </c>
      <c r="C71" s="55"/>
      <c r="D71" s="55" t="s">
        <v>143</v>
      </c>
      <c r="E71" s="55"/>
      <c r="F71" s="55"/>
      <c r="G71" s="55"/>
      <c r="H71" s="56"/>
      <c r="I71" s="57">
        <v>1170</v>
      </c>
      <c r="J71" s="57"/>
      <c r="K71" s="57">
        <f t="shared" si="1"/>
        <v>1170</v>
      </c>
      <c r="L71" s="55"/>
      <c r="M71" s="100" t="s">
        <v>407</v>
      </c>
      <c r="N71" s="100" t="s">
        <v>410</v>
      </c>
    </row>
    <row r="72" spans="1:14" ht="15" customHeight="1" x14ac:dyDescent="0.25">
      <c r="A72" s="58" t="s">
        <v>136</v>
      </c>
      <c r="B72" s="59">
        <v>46049</v>
      </c>
      <c r="C72" s="59">
        <v>46049</v>
      </c>
      <c r="D72" s="60" t="s">
        <v>138</v>
      </c>
      <c r="E72" s="60" t="s">
        <v>16</v>
      </c>
      <c r="F72" s="60"/>
      <c r="G72" s="60" t="s">
        <v>10</v>
      </c>
      <c r="H72" s="61">
        <v>480</v>
      </c>
      <c r="I72" s="62">
        <v>2707.2</v>
      </c>
      <c r="J72" s="62">
        <v>2707.2</v>
      </c>
      <c r="K72" s="62">
        <f t="shared" si="1"/>
        <v>0</v>
      </c>
      <c r="L72" s="60"/>
      <c r="M72" s="100" t="s">
        <v>407</v>
      </c>
      <c r="N72" s="100" t="s">
        <v>410</v>
      </c>
    </row>
    <row r="73" spans="1:14" ht="15" customHeight="1" x14ac:dyDescent="0.25">
      <c r="A73" s="58" t="s">
        <v>136</v>
      </c>
      <c r="B73" s="59">
        <v>46049</v>
      </c>
      <c r="C73" s="59">
        <v>46049</v>
      </c>
      <c r="D73" s="60" t="s">
        <v>138</v>
      </c>
      <c r="E73" s="60" t="s">
        <v>16</v>
      </c>
      <c r="F73" s="60"/>
      <c r="G73" s="60" t="s">
        <v>10</v>
      </c>
      <c r="H73" s="61">
        <v>560.02</v>
      </c>
      <c r="I73" s="62">
        <v>3158.52</v>
      </c>
      <c r="J73" s="62">
        <v>3158.51</v>
      </c>
      <c r="K73" s="62">
        <f t="shared" si="1"/>
        <v>9.9999999997635314E-3</v>
      </c>
      <c r="L73" s="60"/>
      <c r="M73" s="100" t="s">
        <v>407</v>
      </c>
      <c r="N73" s="100" t="s">
        <v>410</v>
      </c>
    </row>
    <row r="74" spans="1:14" ht="15" customHeight="1" x14ac:dyDescent="0.25">
      <c r="A74" s="53" t="s">
        <v>132</v>
      </c>
      <c r="B74" s="54">
        <v>46049</v>
      </c>
      <c r="C74" s="55"/>
      <c r="D74" s="55" t="s">
        <v>151</v>
      </c>
      <c r="E74" s="55"/>
      <c r="F74" s="55"/>
      <c r="G74" s="55"/>
      <c r="H74" s="56"/>
      <c r="I74" s="57">
        <v>2400.08</v>
      </c>
      <c r="J74" s="57"/>
      <c r="K74" s="57">
        <f t="shared" si="1"/>
        <v>2400.08</v>
      </c>
      <c r="L74" s="55"/>
      <c r="M74" s="100" t="s">
        <v>407</v>
      </c>
      <c r="N74" s="100" t="s">
        <v>410</v>
      </c>
    </row>
    <row r="75" spans="1:14" ht="15" customHeight="1" x14ac:dyDescent="0.25">
      <c r="A75" s="58" t="s">
        <v>136</v>
      </c>
      <c r="B75" s="59">
        <v>46049</v>
      </c>
      <c r="C75" s="59">
        <v>46049</v>
      </c>
      <c r="D75" s="60" t="s">
        <v>138</v>
      </c>
      <c r="E75" s="60" t="s">
        <v>16</v>
      </c>
      <c r="F75" s="60"/>
      <c r="G75" s="60" t="s">
        <v>10</v>
      </c>
      <c r="H75" s="61">
        <v>410.43</v>
      </c>
      <c r="I75" s="62">
        <v>2314.83</v>
      </c>
      <c r="J75" s="62">
        <v>2314.83</v>
      </c>
      <c r="K75" s="62">
        <f t="shared" si="1"/>
        <v>0</v>
      </c>
      <c r="L75" s="60"/>
      <c r="M75" s="100" t="s">
        <v>407</v>
      </c>
      <c r="N75" s="100" t="s">
        <v>410</v>
      </c>
    </row>
    <row r="76" spans="1:14" ht="15" customHeight="1" x14ac:dyDescent="0.25">
      <c r="A76" s="53" t="s">
        <v>132</v>
      </c>
      <c r="B76" s="54">
        <v>46049</v>
      </c>
      <c r="C76" s="55"/>
      <c r="D76" s="55" t="s">
        <v>144</v>
      </c>
      <c r="E76" s="55"/>
      <c r="F76" s="55"/>
      <c r="G76" s="55"/>
      <c r="H76" s="56"/>
      <c r="I76" s="57">
        <v>3486</v>
      </c>
      <c r="J76" s="57"/>
      <c r="K76" s="57">
        <f t="shared" si="1"/>
        <v>3486</v>
      </c>
      <c r="L76" s="55"/>
      <c r="M76" s="100" t="s">
        <v>407</v>
      </c>
      <c r="N76" s="100" t="s">
        <v>410</v>
      </c>
    </row>
    <row r="77" spans="1:14" ht="15" customHeight="1" x14ac:dyDescent="0.25">
      <c r="A77" s="58" t="s">
        <v>136</v>
      </c>
      <c r="B77" s="59">
        <v>46049</v>
      </c>
      <c r="C77" s="59">
        <v>46049</v>
      </c>
      <c r="D77" s="60" t="s">
        <v>133</v>
      </c>
      <c r="E77" s="60" t="s">
        <v>17</v>
      </c>
      <c r="F77" s="60"/>
      <c r="G77" s="60" t="s">
        <v>12</v>
      </c>
      <c r="H77" s="61">
        <v>50.76</v>
      </c>
      <c r="I77" s="62">
        <v>329.43</v>
      </c>
      <c r="J77" s="62">
        <v>329.43</v>
      </c>
      <c r="K77" s="62">
        <f t="shared" si="1"/>
        <v>0</v>
      </c>
      <c r="L77" s="60"/>
      <c r="M77" s="100" t="s">
        <v>407</v>
      </c>
      <c r="N77" s="100" t="s">
        <v>410</v>
      </c>
    </row>
    <row r="78" spans="1:14" ht="15" customHeight="1" x14ac:dyDescent="0.25">
      <c r="A78" s="53" t="s">
        <v>132</v>
      </c>
      <c r="B78" s="54">
        <v>46050</v>
      </c>
      <c r="C78" s="55"/>
      <c r="D78" s="55" t="s">
        <v>152</v>
      </c>
      <c r="E78" s="55"/>
      <c r="F78" s="55"/>
      <c r="G78" s="55"/>
      <c r="H78" s="56"/>
      <c r="I78" s="57">
        <v>2416</v>
      </c>
      <c r="J78" s="57"/>
      <c r="K78" s="57">
        <f t="shared" si="1"/>
        <v>2416</v>
      </c>
      <c r="L78" s="55"/>
      <c r="M78" s="100" t="s">
        <v>407</v>
      </c>
      <c r="N78" s="100" t="s">
        <v>410</v>
      </c>
    </row>
    <row r="79" spans="1:14" ht="15" customHeight="1" x14ac:dyDescent="0.25">
      <c r="A79" s="53" t="s">
        <v>132</v>
      </c>
      <c r="B79" s="54">
        <v>46050</v>
      </c>
      <c r="C79" s="55"/>
      <c r="D79" s="55" t="s">
        <v>153</v>
      </c>
      <c r="E79" s="55"/>
      <c r="F79" s="55"/>
      <c r="G79" s="55"/>
      <c r="H79" s="56"/>
      <c r="I79" s="57">
        <v>3090</v>
      </c>
      <c r="J79" s="57"/>
      <c r="K79" s="57">
        <f t="shared" si="1"/>
        <v>3090</v>
      </c>
      <c r="L79" s="55"/>
      <c r="M79" s="100" t="s">
        <v>407</v>
      </c>
      <c r="N79" s="100" t="s">
        <v>410</v>
      </c>
    </row>
    <row r="80" spans="1:14" ht="15" customHeight="1" x14ac:dyDescent="0.25">
      <c r="A80" s="58" t="s">
        <v>136</v>
      </c>
      <c r="B80" s="59">
        <v>46050</v>
      </c>
      <c r="C80" s="59">
        <v>46050</v>
      </c>
      <c r="D80" s="60" t="s">
        <v>138</v>
      </c>
      <c r="E80" s="60" t="s">
        <v>16</v>
      </c>
      <c r="F80" s="60"/>
      <c r="G80" s="60" t="s">
        <v>10</v>
      </c>
      <c r="H80" s="61">
        <v>350</v>
      </c>
      <c r="I80" s="62">
        <v>1974</v>
      </c>
      <c r="J80" s="62">
        <v>1974</v>
      </c>
      <c r="K80" s="62">
        <f t="shared" si="1"/>
        <v>0</v>
      </c>
      <c r="L80" s="60"/>
      <c r="M80" s="100" t="s">
        <v>407</v>
      </c>
      <c r="N80" s="100" t="s">
        <v>410</v>
      </c>
    </row>
    <row r="81" spans="1:14" ht="15" customHeight="1" x14ac:dyDescent="0.25">
      <c r="A81" s="63" t="s">
        <v>142</v>
      </c>
      <c r="B81" s="64">
        <v>46051</v>
      </c>
      <c r="C81" s="64">
        <v>46051</v>
      </c>
      <c r="D81" s="65" t="s">
        <v>133</v>
      </c>
      <c r="E81" s="65" t="s">
        <v>17</v>
      </c>
      <c r="F81" s="65"/>
      <c r="G81" s="65" t="s">
        <v>10</v>
      </c>
      <c r="H81" s="66">
        <v>293.74</v>
      </c>
      <c r="I81" s="67">
        <v>1730.1</v>
      </c>
      <c r="J81" s="67">
        <v>1730.13</v>
      </c>
      <c r="K81" s="67">
        <f t="shared" si="1"/>
        <v>-3.0000000000200089E-2</v>
      </c>
      <c r="L81" s="65"/>
      <c r="M81" s="100" t="s">
        <v>407</v>
      </c>
      <c r="N81" s="100" t="s">
        <v>410</v>
      </c>
    </row>
    <row r="82" spans="1:14" ht="15" customHeight="1" x14ac:dyDescent="0.25">
      <c r="A82" s="53" t="s">
        <v>132</v>
      </c>
      <c r="B82" s="54">
        <v>46051</v>
      </c>
      <c r="C82" s="55"/>
      <c r="D82" s="55" t="s">
        <v>134</v>
      </c>
      <c r="E82" s="55"/>
      <c r="F82" s="55"/>
      <c r="G82" s="55"/>
      <c r="H82" s="56"/>
      <c r="I82" s="57">
        <v>3920.65</v>
      </c>
      <c r="J82" s="57"/>
      <c r="K82" s="57">
        <f t="shared" si="1"/>
        <v>3920.65</v>
      </c>
      <c r="L82" s="55"/>
      <c r="M82" s="100" t="s">
        <v>407</v>
      </c>
      <c r="N82" s="100" t="s">
        <v>410</v>
      </c>
    </row>
    <row r="83" spans="1:14" ht="15" customHeight="1" x14ac:dyDescent="0.25">
      <c r="A83" s="53" t="s">
        <v>132</v>
      </c>
      <c r="B83" s="54">
        <v>46052</v>
      </c>
      <c r="C83" s="55"/>
      <c r="D83" s="55" t="s">
        <v>153</v>
      </c>
      <c r="E83" s="55"/>
      <c r="F83" s="55"/>
      <c r="G83" s="55"/>
      <c r="H83" s="56"/>
      <c r="I83" s="57">
        <v>3090</v>
      </c>
      <c r="J83" s="57"/>
      <c r="K83" s="57">
        <f t="shared" si="1"/>
        <v>3090</v>
      </c>
      <c r="L83" s="55"/>
      <c r="M83" s="100" t="s">
        <v>407</v>
      </c>
      <c r="N83" s="100" t="s">
        <v>410</v>
      </c>
    </row>
    <row r="84" spans="1:14" ht="15" customHeight="1" x14ac:dyDescent="0.25">
      <c r="A84" s="58" t="s">
        <v>136</v>
      </c>
      <c r="B84" s="59">
        <v>46052</v>
      </c>
      <c r="C84" s="59">
        <v>46052</v>
      </c>
      <c r="D84" s="60" t="s">
        <v>133</v>
      </c>
      <c r="E84" s="60" t="s">
        <v>17</v>
      </c>
      <c r="F84" s="60"/>
      <c r="G84" s="60" t="s">
        <v>10</v>
      </c>
      <c r="H84" s="61">
        <v>355.06</v>
      </c>
      <c r="I84" s="62">
        <v>2091.3000000000002</v>
      </c>
      <c r="J84" s="62">
        <v>2091.3000000000002</v>
      </c>
      <c r="K84" s="62">
        <f t="shared" si="1"/>
        <v>0</v>
      </c>
      <c r="L84" s="60"/>
      <c r="M84" s="100" t="s">
        <v>407</v>
      </c>
      <c r="N84" s="100" t="s">
        <v>410</v>
      </c>
    </row>
    <row r="85" spans="1:14" ht="15" customHeight="1" x14ac:dyDescent="0.25">
      <c r="A85" s="58" t="s">
        <v>136</v>
      </c>
      <c r="B85" s="59">
        <v>46052</v>
      </c>
      <c r="C85" s="59">
        <v>46052</v>
      </c>
      <c r="D85" s="60" t="s">
        <v>133</v>
      </c>
      <c r="E85" s="60" t="s">
        <v>17</v>
      </c>
      <c r="F85" s="60"/>
      <c r="G85" s="60" t="s">
        <v>10</v>
      </c>
      <c r="H85" s="61">
        <v>292.14</v>
      </c>
      <c r="I85" s="62">
        <v>1720.7</v>
      </c>
      <c r="J85" s="62">
        <v>1720.7</v>
      </c>
      <c r="K85" s="62">
        <f t="shared" si="1"/>
        <v>0</v>
      </c>
      <c r="L85" s="60"/>
      <c r="M85" s="100" t="s">
        <v>407</v>
      </c>
      <c r="N85" s="100" t="s">
        <v>410</v>
      </c>
    </row>
    <row r="86" spans="1:14" ht="15" customHeight="1" x14ac:dyDescent="0.25">
      <c r="A86" s="58" t="s">
        <v>136</v>
      </c>
      <c r="B86" s="59">
        <v>46052</v>
      </c>
      <c r="C86" s="59">
        <v>46052</v>
      </c>
      <c r="D86" s="60" t="s">
        <v>138</v>
      </c>
      <c r="E86" s="60" t="s">
        <v>16</v>
      </c>
      <c r="F86" s="60"/>
      <c r="G86" s="60" t="s">
        <v>10</v>
      </c>
      <c r="H86" s="61">
        <v>620.02</v>
      </c>
      <c r="I86" s="62">
        <v>3465.91</v>
      </c>
      <c r="J86" s="62">
        <v>3465.91</v>
      </c>
      <c r="K86" s="62">
        <f t="shared" si="1"/>
        <v>0</v>
      </c>
      <c r="L86" s="60"/>
      <c r="M86" s="100" t="s">
        <v>407</v>
      </c>
      <c r="N86" s="100" t="s">
        <v>410</v>
      </c>
    </row>
    <row r="87" spans="1:14" ht="15" customHeight="1" x14ac:dyDescent="0.25">
      <c r="A87" s="53" t="s">
        <v>132</v>
      </c>
      <c r="B87" s="54">
        <v>46053</v>
      </c>
      <c r="C87" s="55"/>
      <c r="D87" s="55" t="s">
        <v>154</v>
      </c>
      <c r="E87" s="55"/>
      <c r="F87" s="55"/>
      <c r="G87" s="55"/>
      <c r="H87" s="56"/>
      <c r="I87" s="57">
        <v>1248</v>
      </c>
      <c r="J87" s="57"/>
      <c r="K87" s="57">
        <f t="shared" si="1"/>
        <v>1248</v>
      </c>
      <c r="L87" s="55"/>
      <c r="M87" s="100" t="s">
        <v>407</v>
      </c>
      <c r="N87" s="100" t="s">
        <v>410</v>
      </c>
    </row>
    <row r="88" spans="1:14" ht="15" customHeight="1" x14ac:dyDescent="0.25">
      <c r="A88" s="58" t="s">
        <v>136</v>
      </c>
      <c r="B88" s="59">
        <v>46054</v>
      </c>
      <c r="C88" s="59">
        <v>46054</v>
      </c>
      <c r="D88" s="60" t="s">
        <v>133</v>
      </c>
      <c r="E88" s="60" t="s">
        <v>17</v>
      </c>
      <c r="F88" s="60"/>
      <c r="G88" s="60" t="s">
        <v>12</v>
      </c>
      <c r="H88" s="61">
        <v>38.909999999999997</v>
      </c>
      <c r="I88" s="62">
        <v>244.74</v>
      </c>
      <c r="J88" s="62">
        <v>244.74</v>
      </c>
      <c r="K88" s="62">
        <f t="shared" si="1"/>
        <v>0</v>
      </c>
      <c r="L88" s="60"/>
      <c r="M88" s="100" t="s">
        <v>407</v>
      </c>
      <c r="N88" s="100" t="s">
        <v>410</v>
      </c>
    </row>
    <row r="89" spans="1:14" ht="15" customHeight="1" x14ac:dyDescent="0.25">
      <c r="A89" s="58" t="s">
        <v>136</v>
      </c>
      <c r="B89" s="59">
        <v>46055</v>
      </c>
      <c r="C89" s="59">
        <v>46048</v>
      </c>
      <c r="D89" s="60" t="s">
        <v>140</v>
      </c>
      <c r="E89" s="60" t="s">
        <v>21</v>
      </c>
      <c r="F89" s="60"/>
      <c r="G89" s="60" t="s">
        <v>12</v>
      </c>
      <c r="H89" s="61">
        <v>42.89</v>
      </c>
      <c r="I89" s="62">
        <v>299.37</v>
      </c>
      <c r="J89" s="62">
        <v>299.37</v>
      </c>
      <c r="K89" s="62">
        <f t="shared" si="1"/>
        <v>0</v>
      </c>
      <c r="L89" s="60"/>
      <c r="M89" s="100" t="s">
        <v>407</v>
      </c>
      <c r="N89" s="100" t="s">
        <v>410</v>
      </c>
    </row>
    <row r="90" spans="1:14" ht="15" customHeight="1" x14ac:dyDescent="0.25">
      <c r="A90" s="53" t="s">
        <v>132</v>
      </c>
      <c r="B90" s="54">
        <v>46055</v>
      </c>
      <c r="C90" s="55"/>
      <c r="D90" s="55" t="s">
        <v>147</v>
      </c>
      <c r="E90" s="55"/>
      <c r="F90" s="55"/>
      <c r="G90" s="55"/>
      <c r="H90" s="56"/>
      <c r="I90" s="57">
        <v>1803</v>
      </c>
      <c r="J90" s="57"/>
      <c r="K90" s="57">
        <f t="shared" si="1"/>
        <v>1803</v>
      </c>
      <c r="L90" s="55"/>
      <c r="M90" s="100" t="s">
        <v>407</v>
      </c>
      <c r="N90" s="100" t="s">
        <v>410</v>
      </c>
    </row>
    <row r="91" spans="1:14" ht="15" customHeight="1" x14ac:dyDescent="0.25">
      <c r="A91" s="58" t="s">
        <v>136</v>
      </c>
      <c r="B91" s="59">
        <v>46056</v>
      </c>
      <c r="C91" s="59">
        <v>46052</v>
      </c>
      <c r="D91" s="60" t="s">
        <v>133</v>
      </c>
      <c r="E91" s="60" t="s">
        <v>17</v>
      </c>
      <c r="F91" s="60"/>
      <c r="G91" s="60" t="s">
        <v>12</v>
      </c>
      <c r="H91" s="61">
        <v>24.12</v>
      </c>
      <c r="I91" s="62">
        <v>156.54</v>
      </c>
      <c r="J91" s="62">
        <v>156.54</v>
      </c>
      <c r="K91" s="62">
        <f t="shared" si="1"/>
        <v>0</v>
      </c>
      <c r="L91" s="60"/>
      <c r="M91" s="100" t="s">
        <v>407</v>
      </c>
      <c r="N91" s="100" t="s">
        <v>410</v>
      </c>
    </row>
    <row r="92" spans="1:14" ht="15" customHeight="1" x14ac:dyDescent="0.25">
      <c r="A92" s="58" t="s">
        <v>136</v>
      </c>
      <c r="B92" s="59">
        <v>46056</v>
      </c>
      <c r="C92" s="59">
        <v>46047</v>
      </c>
      <c r="D92" s="60" t="s">
        <v>133</v>
      </c>
      <c r="E92" s="60" t="s">
        <v>17</v>
      </c>
      <c r="F92" s="60"/>
      <c r="G92" s="60" t="s">
        <v>12</v>
      </c>
      <c r="H92" s="61">
        <v>33.369999999999997</v>
      </c>
      <c r="I92" s="62">
        <v>216.57</v>
      </c>
      <c r="J92" s="62">
        <v>216.57</v>
      </c>
      <c r="K92" s="62">
        <f t="shared" si="1"/>
        <v>0</v>
      </c>
      <c r="L92" s="60"/>
      <c r="M92" s="100" t="s">
        <v>407</v>
      </c>
      <c r="N92" s="100" t="s">
        <v>410</v>
      </c>
    </row>
    <row r="93" spans="1:14" ht="15" customHeight="1" x14ac:dyDescent="0.25">
      <c r="A93" s="58" t="s">
        <v>136</v>
      </c>
      <c r="B93" s="59">
        <v>46056</v>
      </c>
      <c r="C93" s="59">
        <v>46050</v>
      </c>
      <c r="D93" s="60" t="s">
        <v>133</v>
      </c>
      <c r="E93" s="60" t="s">
        <v>17</v>
      </c>
      <c r="F93" s="60"/>
      <c r="G93" s="60" t="s">
        <v>12</v>
      </c>
      <c r="H93" s="61">
        <v>27.55</v>
      </c>
      <c r="I93" s="62">
        <v>178.8</v>
      </c>
      <c r="J93" s="62">
        <v>178.8</v>
      </c>
      <c r="K93" s="62">
        <f t="shared" si="1"/>
        <v>0</v>
      </c>
      <c r="L93" s="60"/>
      <c r="M93" s="100" t="s">
        <v>407</v>
      </c>
      <c r="N93" s="100" t="s">
        <v>410</v>
      </c>
    </row>
    <row r="94" spans="1:14" ht="15" customHeight="1" x14ac:dyDescent="0.25">
      <c r="A94" s="53" t="s">
        <v>132</v>
      </c>
      <c r="B94" s="54">
        <v>46056</v>
      </c>
      <c r="C94" s="55"/>
      <c r="D94" s="55" t="s">
        <v>137</v>
      </c>
      <c r="E94" s="55"/>
      <c r="F94" s="55"/>
      <c r="G94" s="55"/>
      <c r="H94" s="56"/>
      <c r="I94" s="57">
        <v>37562.800000000003</v>
      </c>
      <c r="J94" s="57"/>
      <c r="K94" s="57">
        <f t="shared" si="1"/>
        <v>37562.800000000003</v>
      </c>
      <c r="L94" s="55"/>
      <c r="M94" s="100" t="s">
        <v>407</v>
      </c>
      <c r="N94" s="100" t="s">
        <v>410</v>
      </c>
    </row>
    <row r="95" spans="1:14" ht="15" customHeight="1" x14ac:dyDescent="0.25">
      <c r="A95" s="58" t="s">
        <v>136</v>
      </c>
      <c r="B95" s="59">
        <v>46056</v>
      </c>
      <c r="C95" s="59">
        <v>46056</v>
      </c>
      <c r="D95" s="60" t="s">
        <v>147</v>
      </c>
      <c r="E95" s="60" t="s">
        <v>20</v>
      </c>
      <c r="F95" s="60"/>
      <c r="G95" s="60" t="s">
        <v>10</v>
      </c>
      <c r="H95" s="61">
        <v>400</v>
      </c>
      <c r="I95" s="62">
        <v>2404</v>
      </c>
      <c r="J95" s="62">
        <v>2404</v>
      </c>
      <c r="K95" s="62">
        <f t="shared" si="1"/>
        <v>0</v>
      </c>
      <c r="L95" s="60"/>
      <c r="M95" s="100" t="s">
        <v>407</v>
      </c>
      <c r="N95" s="100" t="s">
        <v>410</v>
      </c>
    </row>
    <row r="96" spans="1:14" ht="15" customHeight="1" x14ac:dyDescent="0.25">
      <c r="A96" s="63" t="s">
        <v>142</v>
      </c>
      <c r="B96" s="64">
        <v>46056</v>
      </c>
      <c r="C96" s="64">
        <v>46056</v>
      </c>
      <c r="D96" s="65" t="s">
        <v>138</v>
      </c>
      <c r="E96" s="65" t="s">
        <v>16</v>
      </c>
      <c r="F96" s="65"/>
      <c r="G96" s="65" t="s">
        <v>10</v>
      </c>
      <c r="H96" s="66">
        <v>614.02</v>
      </c>
      <c r="I96" s="67">
        <v>3432.38</v>
      </c>
      <c r="J96" s="67">
        <v>3432.37</v>
      </c>
      <c r="K96" s="67">
        <f t="shared" si="1"/>
        <v>1.0000000000218279E-2</v>
      </c>
      <c r="L96" s="65"/>
      <c r="M96" s="100" t="s">
        <v>407</v>
      </c>
      <c r="N96" s="100" t="s">
        <v>410</v>
      </c>
    </row>
    <row r="97" spans="1:14" ht="15" customHeight="1" x14ac:dyDescent="0.25">
      <c r="A97" s="58" t="s">
        <v>136</v>
      </c>
      <c r="B97" s="59">
        <v>46056</v>
      </c>
      <c r="C97" s="59">
        <v>46056</v>
      </c>
      <c r="D97" s="60" t="s">
        <v>133</v>
      </c>
      <c r="E97" s="60" t="s">
        <v>17</v>
      </c>
      <c r="F97" s="60"/>
      <c r="G97" s="60" t="s">
        <v>12</v>
      </c>
      <c r="H97" s="61">
        <v>35.72</v>
      </c>
      <c r="I97" s="62">
        <v>231.82</v>
      </c>
      <c r="J97" s="62">
        <v>231.82</v>
      </c>
      <c r="K97" s="62">
        <f t="shared" si="1"/>
        <v>0</v>
      </c>
      <c r="L97" s="60"/>
      <c r="M97" s="100" t="s">
        <v>407</v>
      </c>
      <c r="N97" s="100" t="s">
        <v>410</v>
      </c>
    </row>
    <row r="98" spans="1:14" ht="15" customHeight="1" x14ac:dyDescent="0.25">
      <c r="A98" s="53" t="s">
        <v>132</v>
      </c>
      <c r="B98" s="54">
        <v>46057</v>
      </c>
      <c r="C98" s="55"/>
      <c r="D98" s="55" t="s">
        <v>134</v>
      </c>
      <c r="E98" s="55"/>
      <c r="F98" s="55"/>
      <c r="G98" s="55"/>
      <c r="H98" s="56"/>
      <c r="I98" s="57">
        <v>2788.92</v>
      </c>
      <c r="J98" s="57"/>
      <c r="K98" s="57">
        <f t="shared" si="1"/>
        <v>2788.92</v>
      </c>
      <c r="L98" s="55"/>
      <c r="M98" s="100" t="s">
        <v>407</v>
      </c>
      <c r="N98" s="100" t="s">
        <v>410</v>
      </c>
    </row>
    <row r="99" spans="1:14" ht="15" customHeight="1" x14ac:dyDescent="0.25">
      <c r="A99" s="53" t="s">
        <v>132</v>
      </c>
      <c r="B99" s="54">
        <v>46057</v>
      </c>
      <c r="C99" s="55"/>
      <c r="D99" s="55" t="s">
        <v>143</v>
      </c>
      <c r="E99" s="55"/>
      <c r="F99" s="55"/>
      <c r="G99" s="55"/>
      <c r="H99" s="56"/>
      <c r="I99" s="57">
        <v>3474.9</v>
      </c>
      <c r="J99" s="57"/>
      <c r="K99" s="57">
        <f t="shared" si="1"/>
        <v>3474.9</v>
      </c>
      <c r="L99" s="55"/>
      <c r="M99" s="100" t="s">
        <v>407</v>
      </c>
      <c r="N99" s="100" t="s">
        <v>410</v>
      </c>
    </row>
    <row r="100" spans="1:14" ht="15" customHeight="1" x14ac:dyDescent="0.25">
      <c r="A100" s="58" t="s">
        <v>136</v>
      </c>
      <c r="B100" s="59">
        <v>46057</v>
      </c>
      <c r="C100" s="59">
        <v>46057</v>
      </c>
      <c r="D100" s="60" t="s">
        <v>138</v>
      </c>
      <c r="E100" s="60" t="s">
        <v>16</v>
      </c>
      <c r="F100" s="60"/>
      <c r="G100" s="60" t="s">
        <v>10</v>
      </c>
      <c r="H100" s="61">
        <v>524.97</v>
      </c>
      <c r="I100" s="62">
        <v>2934.58</v>
      </c>
      <c r="J100" s="62">
        <v>2934.58</v>
      </c>
      <c r="K100" s="62">
        <f t="shared" si="1"/>
        <v>0</v>
      </c>
      <c r="L100" s="60"/>
      <c r="M100" s="100" t="s">
        <v>407</v>
      </c>
      <c r="N100" s="100" t="s">
        <v>410</v>
      </c>
    </row>
    <row r="101" spans="1:14" ht="15" customHeight="1" x14ac:dyDescent="0.25">
      <c r="A101" s="58" t="s">
        <v>136</v>
      </c>
      <c r="B101" s="59">
        <v>46057</v>
      </c>
      <c r="C101" s="59">
        <v>46057</v>
      </c>
      <c r="D101" s="60" t="s">
        <v>138</v>
      </c>
      <c r="E101" s="60" t="s">
        <v>16</v>
      </c>
      <c r="F101" s="60"/>
      <c r="G101" s="60" t="s">
        <v>10</v>
      </c>
      <c r="H101" s="61">
        <v>507.01</v>
      </c>
      <c r="I101" s="62">
        <v>2834.19</v>
      </c>
      <c r="J101" s="62">
        <v>2834.19</v>
      </c>
      <c r="K101" s="62">
        <f t="shared" si="1"/>
        <v>0</v>
      </c>
      <c r="L101" s="60"/>
      <c r="M101" s="100" t="s">
        <v>407</v>
      </c>
      <c r="N101" s="100" t="s">
        <v>410</v>
      </c>
    </row>
    <row r="102" spans="1:14" ht="15" customHeight="1" x14ac:dyDescent="0.25">
      <c r="A102" s="58" t="s">
        <v>136</v>
      </c>
      <c r="B102" s="59">
        <v>46058</v>
      </c>
      <c r="C102" s="59">
        <v>46046</v>
      </c>
      <c r="D102" s="60" t="s">
        <v>155</v>
      </c>
      <c r="E102" s="60" t="s">
        <v>22</v>
      </c>
      <c r="F102" s="60"/>
      <c r="G102" s="60" t="s">
        <v>10</v>
      </c>
      <c r="H102" s="61">
        <v>300</v>
      </c>
      <c r="I102" s="62">
        <v>1965</v>
      </c>
      <c r="J102" s="62">
        <v>1965</v>
      </c>
      <c r="K102" s="62">
        <f t="shared" si="1"/>
        <v>0</v>
      </c>
      <c r="L102" s="60"/>
      <c r="M102" s="100" t="s">
        <v>407</v>
      </c>
      <c r="N102" s="100" t="s">
        <v>410</v>
      </c>
    </row>
    <row r="103" spans="1:14" ht="15" customHeight="1" x14ac:dyDescent="0.25">
      <c r="A103" s="53" t="s">
        <v>132</v>
      </c>
      <c r="B103" s="54">
        <v>46058</v>
      </c>
      <c r="C103" s="55"/>
      <c r="D103" s="55" t="s">
        <v>135</v>
      </c>
      <c r="E103" s="55"/>
      <c r="F103" s="55"/>
      <c r="G103" s="55"/>
      <c r="H103" s="56"/>
      <c r="I103" s="57">
        <v>2336.16</v>
      </c>
      <c r="J103" s="57"/>
      <c r="K103" s="57">
        <f t="shared" si="1"/>
        <v>2336.16</v>
      </c>
      <c r="L103" s="55"/>
      <c r="M103" s="100" t="s">
        <v>407</v>
      </c>
      <c r="N103" s="100" t="s">
        <v>410</v>
      </c>
    </row>
    <row r="104" spans="1:14" ht="15" customHeight="1" x14ac:dyDescent="0.25">
      <c r="A104" s="63" t="s">
        <v>142</v>
      </c>
      <c r="B104" s="64">
        <v>46058</v>
      </c>
      <c r="C104" s="64">
        <v>46058</v>
      </c>
      <c r="D104" s="65" t="s">
        <v>138</v>
      </c>
      <c r="E104" s="65" t="s">
        <v>16</v>
      </c>
      <c r="F104" s="65"/>
      <c r="G104" s="65" t="s">
        <v>10</v>
      </c>
      <c r="H104" s="66">
        <v>533.02</v>
      </c>
      <c r="I104" s="67">
        <v>2979.59</v>
      </c>
      <c r="J104" s="67">
        <v>2979.58</v>
      </c>
      <c r="K104" s="67">
        <f t="shared" si="1"/>
        <v>1.0000000000218279E-2</v>
      </c>
      <c r="L104" s="65"/>
      <c r="M104" s="100" t="s">
        <v>407</v>
      </c>
      <c r="N104" s="100" t="s">
        <v>410</v>
      </c>
    </row>
    <row r="105" spans="1:14" ht="15" customHeight="1" x14ac:dyDescent="0.25">
      <c r="A105" s="58" t="s">
        <v>136</v>
      </c>
      <c r="B105" s="59">
        <v>46058</v>
      </c>
      <c r="C105" s="59">
        <v>46058</v>
      </c>
      <c r="D105" s="60" t="s">
        <v>138</v>
      </c>
      <c r="E105" s="60" t="s">
        <v>16</v>
      </c>
      <c r="F105" s="60"/>
      <c r="G105" s="60" t="s">
        <v>10</v>
      </c>
      <c r="H105" s="61">
        <v>560.01</v>
      </c>
      <c r="I105" s="62">
        <v>3130.46</v>
      </c>
      <c r="J105" s="62">
        <v>3130.46</v>
      </c>
      <c r="K105" s="62">
        <f t="shared" si="1"/>
        <v>0</v>
      </c>
      <c r="L105" s="60"/>
      <c r="M105" s="100" t="s">
        <v>407</v>
      </c>
      <c r="N105" s="100" t="s">
        <v>410</v>
      </c>
    </row>
    <row r="106" spans="1:14" ht="15" customHeight="1" x14ac:dyDescent="0.25">
      <c r="A106" s="58" t="s">
        <v>136</v>
      </c>
      <c r="B106" s="59">
        <v>46059</v>
      </c>
      <c r="C106" s="59">
        <v>46058</v>
      </c>
      <c r="D106" s="60" t="s">
        <v>133</v>
      </c>
      <c r="E106" s="60" t="s">
        <v>17</v>
      </c>
      <c r="F106" s="60"/>
      <c r="G106" s="60" t="s">
        <v>10</v>
      </c>
      <c r="H106" s="61">
        <v>271</v>
      </c>
      <c r="I106" s="62">
        <v>1596.19</v>
      </c>
      <c r="J106" s="62">
        <v>1596.19</v>
      </c>
      <c r="K106" s="62">
        <f t="shared" si="1"/>
        <v>0</v>
      </c>
      <c r="L106" s="60"/>
      <c r="M106" s="100" t="s">
        <v>407</v>
      </c>
      <c r="N106" s="100" t="s">
        <v>410</v>
      </c>
    </row>
    <row r="107" spans="1:14" ht="15" customHeight="1" x14ac:dyDescent="0.25">
      <c r="A107" s="53" t="s">
        <v>132</v>
      </c>
      <c r="B107" s="54">
        <v>46059</v>
      </c>
      <c r="C107" s="55"/>
      <c r="D107" s="55" t="s">
        <v>139</v>
      </c>
      <c r="E107" s="55"/>
      <c r="F107" s="55"/>
      <c r="G107" s="55"/>
      <c r="H107" s="56"/>
      <c r="I107" s="57">
        <v>2912.37</v>
      </c>
      <c r="J107" s="57"/>
      <c r="K107" s="57">
        <f t="shared" si="1"/>
        <v>2912.37</v>
      </c>
      <c r="L107" s="55"/>
      <c r="M107" s="100" t="s">
        <v>407</v>
      </c>
      <c r="N107" s="100" t="s">
        <v>410</v>
      </c>
    </row>
    <row r="108" spans="1:14" ht="15" customHeight="1" x14ac:dyDescent="0.25">
      <c r="A108" s="58" t="s">
        <v>136</v>
      </c>
      <c r="B108" s="59">
        <v>46059</v>
      </c>
      <c r="C108" s="59">
        <v>46059</v>
      </c>
      <c r="D108" s="60" t="s">
        <v>138</v>
      </c>
      <c r="E108" s="60" t="s">
        <v>16</v>
      </c>
      <c r="F108" s="60"/>
      <c r="G108" s="60" t="s">
        <v>10</v>
      </c>
      <c r="H108" s="61">
        <v>384</v>
      </c>
      <c r="I108" s="62">
        <v>2146.56</v>
      </c>
      <c r="J108" s="62">
        <v>2146.56</v>
      </c>
      <c r="K108" s="62">
        <f t="shared" si="1"/>
        <v>0</v>
      </c>
      <c r="L108" s="60"/>
      <c r="M108" s="100" t="s">
        <v>407</v>
      </c>
      <c r="N108" s="100" t="s">
        <v>410</v>
      </c>
    </row>
    <row r="109" spans="1:14" ht="15" customHeight="1" x14ac:dyDescent="0.25">
      <c r="A109" s="53" t="s">
        <v>132</v>
      </c>
      <c r="B109" s="54">
        <v>46059</v>
      </c>
      <c r="C109" s="55"/>
      <c r="D109" s="55" t="s">
        <v>133</v>
      </c>
      <c r="E109" s="55"/>
      <c r="F109" s="55"/>
      <c r="G109" s="55"/>
      <c r="H109" s="56"/>
      <c r="I109" s="57">
        <v>108.19</v>
      </c>
      <c r="J109" s="57"/>
      <c r="K109" s="57">
        <f t="shared" si="1"/>
        <v>108.19</v>
      </c>
      <c r="L109" s="55"/>
      <c r="M109" s="100" t="s">
        <v>407</v>
      </c>
      <c r="N109" s="100" t="s">
        <v>410</v>
      </c>
    </row>
    <row r="110" spans="1:14" ht="15" customHeight="1" x14ac:dyDescent="0.25">
      <c r="A110" s="53" t="s">
        <v>132</v>
      </c>
      <c r="B110" s="54">
        <v>46060</v>
      </c>
      <c r="C110" s="55"/>
      <c r="D110" s="55" t="s">
        <v>134</v>
      </c>
      <c r="E110" s="55"/>
      <c r="F110" s="55"/>
      <c r="G110" s="55"/>
      <c r="H110" s="56"/>
      <c r="I110" s="57">
        <v>1748.81</v>
      </c>
      <c r="J110" s="57"/>
      <c r="K110" s="57">
        <f t="shared" si="1"/>
        <v>1748.81</v>
      </c>
      <c r="L110" s="55"/>
      <c r="M110" s="100" t="s">
        <v>407</v>
      </c>
      <c r="N110" s="100" t="s">
        <v>410</v>
      </c>
    </row>
    <row r="111" spans="1:14" ht="15" customHeight="1" x14ac:dyDescent="0.25">
      <c r="A111" s="53" t="s">
        <v>132</v>
      </c>
      <c r="B111" s="54">
        <v>46061</v>
      </c>
      <c r="C111" s="55"/>
      <c r="D111" s="55" t="s">
        <v>141</v>
      </c>
      <c r="E111" s="55"/>
      <c r="F111" s="55"/>
      <c r="G111" s="55"/>
      <c r="H111" s="56"/>
      <c r="I111" s="57">
        <v>3160</v>
      </c>
      <c r="J111" s="57"/>
      <c r="K111" s="57">
        <f t="shared" si="1"/>
        <v>3160</v>
      </c>
      <c r="L111" s="55"/>
      <c r="M111" s="100" t="s">
        <v>407</v>
      </c>
      <c r="N111" s="100" t="s">
        <v>410</v>
      </c>
    </row>
    <row r="112" spans="1:14" ht="15" customHeight="1" x14ac:dyDescent="0.25">
      <c r="A112" s="53" t="s">
        <v>132</v>
      </c>
      <c r="B112" s="54">
        <v>46062</v>
      </c>
      <c r="C112" s="55"/>
      <c r="D112" s="55" t="s">
        <v>134</v>
      </c>
      <c r="E112" s="55"/>
      <c r="F112" s="55"/>
      <c r="G112" s="55"/>
      <c r="H112" s="56"/>
      <c r="I112" s="57">
        <v>1930.13</v>
      </c>
      <c r="J112" s="57"/>
      <c r="K112" s="57">
        <f t="shared" si="1"/>
        <v>1930.13</v>
      </c>
      <c r="L112" s="55"/>
      <c r="M112" s="100" t="s">
        <v>407</v>
      </c>
      <c r="N112" s="100" t="s">
        <v>410</v>
      </c>
    </row>
    <row r="113" spans="1:14" ht="15" customHeight="1" x14ac:dyDescent="0.25">
      <c r="A113" s="53" t="s">
        <v>132</v>
      </c>
      <c r="B113" s="54">
        <v>46062</v>
      </c>
      <c r="C113" s="55"/>
      <c r="D113" s="55" t="s">
        <v>137</v>
      </c>
      <c r="E113" s="55"/>
      <c r="F113" s="55"/>
      <c r="G113" s="55"/>
      <c r="H113" s="56"/>
      <c r="I113" s="57">
        <v>30169.119999999999</v>
      </c>
      <c r="J113" s="57"/>
      <c r="K113" s="57">
        <f t="shared" si="1"/>
        <v>30169.119999999999</v>
      </c>
      <c r="L113" s="55"/>
      <c r="M113" s="100" t="s">
        <v>407</v>
      </c>
      <c r="N113" s="100" t="s">
        <v>410</v>
      </c>
    </row>
    <row r="114" spans="1:14" ht="15" customHeight="1" x14ac:dyDescent="0.25">
      <c r="A114" s="53" t="s">
        <v>132</v>
      </c>
      <c r="B114" s="54">
        <v>46062</v>
      </c>
      <c r="C114" s="55"/>
      <c r="D114" s="55" t="s">
        <v>143</v>
      </c>
      <c r="E114" s="55"/>
      <c r="F114" s="55"/>
      <c r="G114" s="55"/>
      <c r="H114" s="56"/>
      <c r="I114" s="57">
        <v>3568.56</v>
      </c>
      <c r="J114" s="57"/>
      <c r="K114" s="57">
        <f t="shared" si="1"/>
        <v>3568.56</v>
      </c>
      <c r="L114" s="55"/>
      <c r="M114" s="100" t="s">
        <v>407</v>
      </c>
      <c r="N114" s="100" t="s">
        <v>410</v>
      </c>
    </row>
    <row r="115" spans="1:14" ht="15" customHeight="1" x14ac:dyDescent="0.25">
      <c r="A115" s="53" t="s">
        <v>132</v>
      </c>
      <c r="B115" s="54">
        <v>46062</v>
      </c>
      <c r="C115" s="55"/>
      <c r="D115" s="55" t="s">
        <v>134</v>
      </c>
      <c r="E115" s="55"/>
      <c r="F115" s="55"/>
      <c r="G115" s="55"/>
      <c r="H115" s="56"/>
      <c r="I115" s="57">
        <v>1743</v>
      </c>
      <c r="J115" s="57"/>
      <c r="K115" s="57">
        <f t="shared" si="1"/>
        <v>1743</v>
      </c>
      <c r="L115" s="55"/>
      <c r="M115" s="100" t="s">
        <v>407</v>
      </c>
      <c r="N115" s="100" t="s">
        <v>410</v>
      </c>
    </row>
    <row r="116" spans="1:14" ht="15" customHeight="1" x14ac:dyDescent="0.25">
      <c r="A116" s="58" t="s">
        <v>136</v>
      </c>
      <c r="B116" s="59">
        <v>46063</v>
      </c>
      <c r="C116" s="59">
        <v>46055</v>
      </c>
      <c r="D116" s="60" t="s">
        <v>133</v>
      </c>
      <c r="E116" s="60" t="s">
        <v>17</v>
      </c>
      <c r="F116" s="60"/>
      <c r="G116" s="60" t="s">
        <v>12</v>
      </c>
      <c r="H116" s="61">
        <v>18.13</v>
      </c>
      <c r="I116" s="62">
        <v>117.66</v>
      </c>
      <c r="J116" s="62">
        <v>117.66</v>
      </c>
      <c r="K116" s="62">
        <f t="shared" si="1"/>
        <v>0</v>
      </c>
      <c r="L116" s="60"/>
      <c r="M116" s="100" t="s">
        <v>407</v>
      </c>
      <c r="N116" s="100" t="s">
        <v>410</v>
      </c>
    </row>
    <row r="117" spans="1:14" ht="15" customHeight="1" x14ac:dyDescent="0.25">
      <c r="A117" s="58" t="s">
        <v>136</v>
      </c>
      <c r="B117" s="59">
        <v>46063</v>
      </c>
      <c r="C117" s="59">
        <v>46059</v>
      </c>
      <c r="D117" s="60" t="s">
        <v>133</v>
      </c>
      <c r="E117" s="60" t="s">
        <v>17</v>
      </c>
      <c r="F117" s="60"/>
      <c r="G117" s="60" t="s">
        <v>12</v>
      </c>
      <c r="H117" s="61">
        <v>32.43</v>
      </c>
      <c r="I117" s="62">
        <v>210.47</v>
      </c>
      <c r="J117" s="62">
        <v>210.47</v>
      </c>
      <c r="K117" s="62">
        <f t="shared" si="1"/>
        <v>0</v>
      </c>
      <c r="L117" s="60"/>
      <c r="M117" s="100" t="s">
        <v>407</v>
      </c>
      <c r="N117" s="100" t="s">
        <v>410</v>
      </c>
    </row>
    <row r="118" spans="1:14" ht="15" customHeight="1" x14ac:dyDescent="0.25">
      <c r="A118" s="53" t="s">
        <v>132</v>
      </c>
      <c r="B118" s="54">
        <v>46063</v>
      </c>
      <c r="C118" s="55"/>
      <c r="D118" s="55" t="s">
        <v>133</v>
      </c>
      <c r="E118" s="55"/>
      <c r="F118" s="55"/>
      <c r="G118" s="55"/>
      <c r="H118" s="56"/>
      <c r="I118" s="57">
        <v>348.84</v>
      </c>
      <c r="J118" s="57"/>
      <c r="K118" s="57">
        <f t="shared" si="1"/>
        <v>348.84</v>
      </c>
      <c r="L118" s="55"/>
      <c r="M118" s="100" t="s">
        <v>407</v>
      </c>
      <c r="N118" s="100" t="s">
        <v>410</v>
      </c>
    </row>
    <row r="119" spans="1:14" ht="15" customHeight="1" x14ac:dyDescent="0.25">
      <c r="A119" s="53" t="s">
        <v>132</v>
      </c>
      <c r="B119" s="54">
        <v>46063</v>
      </c>
      <c r="C119" s="55"/>
      <c r="D119" s="55" t="s">
        <v>134</v>
      </c>
      <c r="E119" s="55"/>
      <c r="F119" s="55"/>
      <c r="G119" s="55"/>
      <c r="H119" s="56"/>
      <c r="I119" s="57">
        <v>2033.5</v>
      </c>
      <c r="J119" s="57"/>
      <c r="K119" s="57">
        <f t="shared" si="1"/>
        <v>2033.5</v>
      </c>
      <c r="L119" s="55"/>
      <c r="M119" s="100" t="s">
        <v>407</v>
      </c>
      <c r="N119" s="100" t="s">
        <v>410</v>
      </c>
    </row>
    <row r="120" spans="1:14" ht="15" customHeight="1" x14ac:dyDescent="0.25">
      <c r="A120" s="58" t="s">
        <v>136</v>
      </c>
      <c r="B120" s="59">
        <v>46064</v>
      </c>
      <c r="C120" s="59">
        <v>46055</v>
      </c>
      <c r="D120" s="60" t="s">
        <v>140</v>
      </c>
      <c r="E120" s="60" t="s">
        <v>21</v>
      </c>
      <c r="F120" s="60"/>
      <c r="G120" s="60" t="s">
        <v>12</v>
      </c>
      <c r="H120" s="61">
        <v>39.590000000000003</v>
      </c>
      <c r="I120" s="62">
        <v>276.33999999999997</v>
      </c>
      <c r="J120" s="62">
        <v>276.33999999999997</v>
      </c>
      <c r="K120" s="62">
        <f t="shared" si="1"/>
        <v>0</v>
      </c>
      <c r="L120" s="60"/>
      <c r="M120" s="100" t="s">
        <v>407</v>
      </c>
      <c r="N120" s="100" t="s">
        <v>410</v>
      </c>
    </row>
    <row r="121" spans="1:14" ht="15" customHeight="1" x14ac:dyDescent="0.25">
      <c r="A121" s="58" t="s">
        <v>136</v>
      </c>
      <c r="B121" s="59">
        <v>46064</v>
      </c>
      <c r="C121" s="59">
        <v>46064</v>
      </c>
      <c r="D121" s="60" t="s">
        <v>138</v>
      </c>
      <c r="E121" s="60" t="s">
        <v>16</v>
      </c>
      <c r="F121" s="60"/>
      <c r="G121" s="60" t="s">
        <v>10</v>
      </c>
      <c r="H121" s="61">
        <v>330.67</v>
      </c>
      <c r="I121" s="62">
        <v>1848.45</v>
      </c>
      <c r="J121" s="62">
        <v>1848.45</v>
      </c>
      <c r="K121" s="62">
        <f t="shared" si="1"/>
        <v>0</v>
      </c>
      <c r="L121" s="60"/>
      <c r="M121" s="100" t="s">
        <v>407</v>
      </c>
      <c r="N121" s="100" t="s">
        <v>410</v>
      </c>
    </row>
    <row r="122" spans="1:14" ht="15" customHeight="1" x14ac:dyDescent="0.25">
      <c r="A122" s="63" t="s">
        <v>142</v>
      </c>
      <c r="B122" s="64">
        <v>46064</v>
      </c>
      <c r="C122" s="64">
        <v>46064</v>
      </c>
      <c r="D122" s="65" t="s">
        <v>138</v>
      </c>
      <c r="E122" s="65" t="s">
        <v>16</v>
      </c>
      <c r="F122" s="65"/>
      <c r="G122" s="65" t="s">
        <v>10</v>
      </c>
      <c r="H122" s="66">
        <v>513.54999999999995</v>
      </c>
      <c r="I122" s="67">
        <v>2870.75</v>
      </c>
      <c r="J122" s="67">
        <v>2870.74</v>
      </c>
      <c r="K122" s="67">
        <f t="shared" si="1"/>
        <v>1.0000000000218279E-2</v>
      </c>
      <c r="L122" s="65"/>
      <c r="M122" s="100" t="s">
        <v>407</v>
      </c>
      <c r="N122" s="100" t="s">
        <v>410</v>
      </c>
    </row>
    <row r="123" spans="1:14" ht="15" customHeight="1" x14ac:dyDescent="0.25">
      <c r="A123" s="53" t="s">
        <v>132</v>
      </c>
      <c r="B123" s="54">
        <v>46064</v>
      </c>
      <c r="C123" s="55"/>
      <c r="D123" s="55" t="s">
        <v>134</v>
      </c>
      <c r="E123" s="55"/>
      <c r="F123" s="55"/>
      <c r="G123" s="55"/>
      <c r="H123" s="56"/>
      <c r="I123" s="57">
        <v>3718.4</v>
      </c>
      <c r="J123" s="57"/>
      <c r="K123" s="57">
        <f t="shared" si="1"/>
        <v>3718.4</v>
      </c>
      <c r="L123" s="55"/>
      <c r="M123" s="100" t="s">
        <v>407</v>
      </c>
      <c r="N123" s="100" t="s">
        <v>410</v>
      </c>
    </row>
    <row r="124" spans="1:14" ht="15" customHeight="1" x14ac:dyDescent="0.25">
      <c r="A124" s="53" t="s">
        <v>132</v>
      </c>
      <c r="B124" s="54">
        <v>46065</v>
      </c>
      <c r="C124" s="55"/>
      <c r="D124" s="55" t="s">
        <v>139</v>
      </c>
      <c r="E124" s="55"/>
      <c r="F124" s="55"/>
      <c r="G124" s="55"/>
      <c r="H124" s="56"/>
      <c r="I124" s="57">
        <v>2605.5</v>
      </c>
      <c r="J124" s="57"/>
      <c r="K124" s="57">
        <f t="shared" si="1"/>
        <v>2605.5</v>
      </c>
      <c r="L124" s="55"/>
      <c r="M124" s="100" t="s">
        <v>407</v>
      </c>
      <c r="N124" s="100" t="s">
        <v>410</v>
      </c>
    </row>
    <row r="125" spans="1:14" ht="15" customHeight="1" x14ac:dyDescent="0.25">
      <c r="A125" s="58" t="s">
        <v>136</v>
      </c>
      <c r="B125" s="59">
        <v>46066</v>
      </c>
      <c r="C125" s="59">
        <v>46057</v>
      </c>
      <c r="D125" s="60" t="s">
        <v>156</v>
      </c>
      <c r="E125" s="60" t="s">
        <v>69</v>
      </c>
      <c r="F125" s="60"/>
      <c r="G125" s="60" t="s">
        <v>12</v>
      </c>
      <c r="H125" s="61">
        <v>32.880000000000003</v>
      </c>
      <c r="I125" s="62">
        <v>213.06</v>
      </c>
      <c r="J125" s="62">
        <v>213.06</v>
      </c>
      <c r="K125" s="62">
        <f t="shared" si="1"/>
        <v>0</v>
      </c>
      <c r="L125" s="60"/>
      <c r="M125" s="100" t="s">
        <v>407</v>
      </c>
      <c r="N125" s="100" t="s">
        <v>410</v>
      </c>
    </row>
    <row r="126" spans="1:14" ht="15" customHeight="1" x14ac:dyDescent="0.25">
      <c r="A126" s="58" t="s">
        <v>136</v>
      </c>
      <c r="B126" s="59">
        <v>46066</v>
      </c>
      <c r="C126" s="59">
        <v>46066</v>
      </c>
      <c r="D126" s="60" t="s">
        <v>138</v>
      </c>
      <c r="E126" s="60" t="s">
        <v>16</v>
      </c>
      <c r="F126" s="60"/>
      <c r="G126" s="60" t="s">
        <v>10</v>
      </c>
      <c r="H126" s="61">
        <v>600.02</v>
      </c>
      <c r="I126" s="62">
        <v>3354.12</v>
      </c>
      <c r="J126" s="62">
        <v>3354.11</v>
      </c>
      <c r="K126" s="62">
        <f t="shared" si="1"/>
        <v>9.9999999997635314E-3</v>
      </c>
      <c r="L126" s="60"/>
      <c r="M126" s="100" t="s">
        <v>407</v>
      </c>
      <c r="N126" s="100" t="s">
        <v>410</v>
      </c>
    </row>
    <row r="127" spans="1:14" ht="15" customHeight="1" x14ac:dyDescent="0.25">
      <c r="A127" s="58" t="s">
        <v>136</v>
      </c>
      <c r="B127" s="59">
        <v>46066</v>
      </c>
      <c r="C127" s="59">
        <v>46066</v>
      </c>
      <c r="D127" s="60" t="s">
        <v>133</v>
      </c>
      <c r="E127" s="60" t="s">
        <v>17</v>
      </c>
      <c r="F127" s="60"/>
      <c r="G127" s="60" t="s">
        <v>10</v>
      </c>
      <c r="H127" s="61">
        <v>330.04</v>
      </c>
      <c r="I127" s="62">
        <v>1943.94</v>
      </c>
      <c r="J127" s="62">
        <v>1943.94</v>
      </c>
      <c r="K127" s="62">
        <f t="shared" si="1"/>
        <v>0</v>
      </c>
      <c r="L127" s="60"/>
      <c r="M127" s="100" t="s">
        <v>407</v>
      </c>
      <c r="N127" s="100" t="s">
        <v>410</v>
      </c>
    </row>
    <row r="128" spans="1:14" ht="15" customHeight="1" x14ac:dyDescent="0.25">
      <c r="A128" s="53" t="s">
        <v>132</v>
      </c>
      <c r="B128" s="54">
        <v>46066</v>
      </c>
      <c r="C128" s="55"/>
      <c r="D128" s="55" t="s">
        <v>144</v>
      </c>
      <c r="E128" s="55"/>
      <c r="F128" s="55"/>
      <c r="G128" s="55"/>
      <c r="H128" s="56"/>
      <c r="I128" s="57">
        <v>3420</v>
      </c>
      <c r="J128" s="57"/>
      <c r="K128" s="57">
        <f t="shared" si="1"/>
        <v>3420</v>
      </c>
      <c r="L128" s="55"/>
      <c r="M128" s="100" t="s">
        <v>407</v>
      </c>
      <c r="N128" s="100" t="s">
        <v>410</v>
      </c>
    </row>
    <row r="129" spans="1:14" ht="15" customHeight="1" x14ac:dyDescent="0.25">
      <c r="A129" s="53" t="s">
        <v>132</v>
      </c>
      <c r="B129" s="54">
        <v>46067</v>
      </c>
      <c r="C129" s="55"/>
      <c r="D129" s="55" t="s">
        <v>139</v>
      </c>
      <c r="E129" s="55"/>
      <c r="F129" s="55"/>
      <c r="G129" s="55"/>
      <c r="H129" s="56"/>
      <c r="I129" s="57">
        <v>3207.66</v>
      </c>
      <c r="J129" s="57"/>
      <c r="K129" s="57">
        <f t="shared" si="1"/>
        <v>3207.66</v>
      </c>
      <c r="L129" s="55"/>
      <c r="M129" s="100" t="s">
        <v>407</v>
      </c>
      <c r="N129" s="100" t="s">
        <v>410</v>
      </c>
    </row>
    <row r="130" spans="1:14" ht="15" customHeight="1" x14ac:dyDescent="0.25">
      <c r="A130" s="53" t="s">
        <v>132</v>
      </c>
      <c r="B130" s="54">
        <v>46068</v>
      </c>
      <c r="C130" s="55"/>
      <c r="D130" s="55" t="s">
        <v>146</v>
      </c>
      <c r="E130" s="55"/>
      <c r="F130" s="55"/>
      <c r="G130" s="55"/>
      <c r="H130" s="56"/>
      <c r="I130" s="57">
        <v>2660.98</v>
      </c>
      <c r="J130" s="57"/>
      <c r="K130" s="57">
        <f t="shared" si="1"/>
        <v>2660.98</v>
      </c>
      <c r="L130" s="55"/>
      <c r="M130" s="100" t="s">
        <v>407</v>
      </c>
      <c r="N130" s="100" t="s">
        <v>410</v>
      </c>
    </row>
    <row r="131" spans="1:14" ht="15" customHeight="1" x14ac:dyDescent="0.25">
      <c r="A131" s="53" t="s">
        <v>132</v>
      </c>
      <c r="B131" s="54">
        <v>46068</v>
      </c>
      <c r="C131" s="55"/>
      <c r="D131" s="55" t="s">
        <v>151</v>
      </c>
      <c r="E131" s="55"/>
      <c r="F131" s="55"/>
      <c r="G131" s="55"/>
      <c r="H131" s="56"/>
      <c r="I131" s="57">
        <v>2669.2</v>
      </c>
      <c r="J131" s="57"/>
      <c r="K131" s="57">
        <f t="shared" si="1"/>
        <v>2669.2</v>
      </c>
      <c r="L131" s="55"/>
      <c r="M131" s="100" t="s">
        <v>407</v>
      </c>
      <c r="N131" s="100" t="s">
        <v>410</v>
      </c>
    </row>
    <row r="132" spans="1:14" ht="15" customHeight="1" x14ac:dyDescent="0.25">
      <c r="A132" s="53" t="s">
        <v>132</v>
      </c>
      <c r="B132" s="54">
        <v>46069</v>
      </c>
      <c r="C132" s="55"/>
      <c r="D132" s="55" t="s">
        <v>137</v>
      </c>
      <c r="E132" s="55"/>
      <c r="F132" s="55"/>
      <c r="G132" s="55"/>
      <c r="H132" s="56"/>
      <c r="I132" s="57">
        <v>19731.259999999998</v>
      </c>
      <c r="J132" s="57"/>
      <c r="K132" s="57">
        <f t="shared" si="1"/>
        <v>19731.259999999998</v>
      </c>
      <c r="L132" s="55"/>
      <c r="M132" s="100" t="s">
        <v>407</v>
      </c>
      <c r="N132" s="100" t="s">
        <v>410</v>
      </c>
    </row>
    <row r="133" spans="1:14" ht="15" customHeight="1" x14ac:dyDescent="0.25">
      <c r="A133" s="58" t="s">
        <v>136</v>
      </c>
      <c r="B133" s="59">
        <v>46071</v>
      </c>
      <c r="C133" s="59">
        <v>46066</v>
      </c>
      <c r="D133" s="60" t="s">
        <v>140</v>
      </c>
      <c r="E133" s="60" t="s">
        <v>21</v>
      </c>
      <c r="F133" s="60"/>
      <c r="G133" s="60" t="s">
        <v>12</v>
      </c>
      <c r="H133" s="61">
        <v>28.02</v>
      </c>
      <c r="I133" s="62">
        <v>195.58</v>
      </c>
      <c r="J133" s="62">
        <v>195.58</v>
      </c>
      <c r="K133" s="62">
        <f t="shared" ref="K133:K196" si="2">IFERROR(I133-J133,"")</f>
        <v>0</v>
      </c>
      <c r="L133" s="60"/>
      <c r="M133" s="100" t="s">
        <v>407</v>
      </c>
      <c r="N133" s="100" t="s">
        <v>410</v>
      </c>
    </row>
    <row r="134" spans="1:14" ht="15" customHeight="1" x14ac:dyDescent="0.25">
      <c r="A134" s="58" t="s">
        <v>136</v>
      </c>
      <c r="B134" s="59">
        <v>46071</v>
      </c>
      <c r="C134" s="59">
        <v>46062</v>
      </c>
      <c r="D134" s="60" t="s">
        <v>156</v>
      </c>
      <c r="E134" s="60" t="s">
        <v>69</v>
      </c>
      <c r="F134" s="60"/>
      <c r="G134" s="60" t="s">
        <v>12</v>
      </c>
      <c r="H134" s="61">
        <v>34.76</v>
      </c>
      <c r="I134" s="62">
        <v>225.24</v>
      </c>
      <c r="J134" s="62">
        <v>225.24</v>
      </c>
      <c r="K134" s="62">
        <f t="shared" si="2"/>
        <v>0</v>
      </c>
      <c r="L134" s="60"/>
      <c r="M134" s="100" t="s">
        <v>407</v>
      </c>
      <c r="N134" s="100" t="s">
        <v>410</v>
      </c>
    </row>
    <row r="135" spans="1:14" ht="15" customHeight="1" x14ac:dyDescent="0.25">
      <c r="A135" s="58" t="s">
        <v>136</v>
      </c>
      <c r="B135" s="59">
        <v>46071</v>
      </c>
      <c r="C135" s="59">
        <v>46063</v>
      </c>
      <c r="D135" s="60" t="s">
        <v>133</v>
      </c>
      <c r="E135" s="60" t="s">
        <v>17</v>
      </c>
      <c r="F135" s="60"/>
      <c r="G135" s="60" t="s">
        <v>12</v>
      </c>
      <c r="H135" s="61">
        <v>16.36</v>
      </c>
      <c r="I135" s="62">
        <v>106.18</v>
      </c>
      <c r="J135" s="62">
        <v>106.18</v>
      </c>
      <c r="K135" s="62">
        <f t="shared" si="2"/>
        <v>0</v>
      </c>
      <c r="L135" s="60"/>
      <c r="M135" s="100" t="s">
        <v>407</v>
      </c>
      <c r="N135" s="100" t="s">
        <v>410</v>
      </c>
    </row>
    <row r="136" spans="1:14" ht="15" customHeight="1" x14ac:dyDescent="0.25">
      <c r="A136" s="58" t="s">
        <v>136</v>
      </c>
      <c r="B136" s="59">
        <v>46071</v>
      </c>
      <c r="C136" s="59">
        <v>46066</v>
      </c>
      <c r="D136" s="60" t="s">
        <v>133</v>
      </c>
      <c r="E136" s="60" t="s">
        <v>17</v>
      </c>
      <c r="F136" s="60"/>
      <c r="G136" s="60" t="s">
        <v>12</v>
      </c>
      <c r="H136" s="61">
        <v>23.21</v>
      </c>
      <c r="I136" s="62">
        <v>150.63</v>
      </c>
      <c r="J136" s="62">
        <v>150.63</v>
      </c>
      <c r="K136" s="62">
        <f t="shared" si="2"/>
        <v>0</v>
      </c>
      <c r="L136" s="60"/>
      <c r="M136" s="100" t="s">
        <v>407</v>
      </c>
      <c r="N136" s="100" t="s">
        <v>410</v>
      </c>
    </row>
    <row r="137" spans="1:14" ht="15" customHeight="1" x14ac:dyDescent="0.25">
      <c r="A137" s="53" t="s">
        <v>132</v>
      </c>
      <c r="B137" s="54">
        <v>46071</v>
      </c>
      <c r="C137" s="55"/>
      <c r="D137" s="55" t="s">
        <v>157</v>
      </c>
      <c r="E137" s="55"/>
      <c r="F137" s="55"/>
      <c r="G137" s="55"/>
      <c r="H137" s="56"/>
      <c r="I137" s="57">
        <v>908.68</v>
      </c>
      <c r="J137" s="57"/>
      <c r="K137" s="57">
        <f t="shared" si="2"/>
        <v>908.68</v>
      </c>
      <c r="L137" s="55"/>
      <c r="M137" s="100" t="s">
        <v>407</v>
      </c>
      <c r="N137" s="100" t="s">
        <v>410</v>
      </c>
    </row>
    <row r="138" spans="1:14" ht="15" customHeight="1" x14ac:dyDescent="0.25">
      <c r="A138" s="53" t="s">
        <v>132</v>
      </c>
      <c r="B138" s="54">
        <v>46071</v>
      </c>
      <c r="C138" s="55"/>
      <c r="D138" s="55" t="s">
        <v>141</v>
      </c>
      <c r="E138" s="55"/>
      <c r="F138" s="55"/>
      <c r="G138" s="55"/>
      <c r="H138" s="56"/>
      <c r="I138" s="57">
        <v>3754.08</v>
      </c>
      <c r="J138" s="57"/>
      <c r="K138" s="57">
        <f t="shared" si="2"/>
        <v>3754.08</v>
      </c>
      <c r="L138" s="55"/>
      <c r="M138" s="100" t="s">
        <v>407</v>
      </c>
      <c r="N138" s="100" t="s">
        <v>410</v>
      </c>
    </row>
    <row r="139" spans="1:14" ht="15" customHeight="1" x14ac:dyDescent="0.25">
      <c r="A139" s="58" t="s">
        <v>136</v>
      </c>
      <c r="B139" s="59">
        <v>46072</v>
      </c>
      <c r="C139" s="59">
        <v>46064</v>
      </c>
      <c r="D139" s="60" t="s">
        <v>140</v>
      </c>
      <c r="E139" s="60" t="s">
        <v>21</v>
      </c>
      <c r="F139" s="60"/>
      <c r="G139" s="60" t="s">
        <v>12</v>
      </c>
      <c r="H139" s="61">
        <v>37.57</v>
      </c>
      <c r="I139" s="62">
        <v>262.24</v>
      </c>
      <c r="J139" s="62">
        <v>262.24</v>
      </c>
      <c r="K139" s="62">
        <f t="shared" si="2"/>
        <v>0</v>
      </c>
      <c r="L139" s="60"/>
      <c r="M139" s="100" t="s">
        <v>407</v>
      </c>
      <c r="N139" s="100" t="s">
        <v>410</v>
      </c>
    </row>
    <row r="140" spans="1:14" ht="15" customHeight="1" x14ac:dyDescent="0.25">
      <c r="A140" s="53" t="s">
        <v>132</v>
      </c>
      <c r="B140" s="54">
        <v>46072</v>
      </c>
      <c r="C140" s="55"/>
      <c r="D140" s="55" t="s">
        <v>149</v>
      </c>
      <c r="E140" s="55"/>
      <c r="F140" s="55"/>
      <c r="G140" s="55"/>
      <c r="H140" s="56"/>
      <c r="I140" s="57">
        <v>1728</v>
      </c>
      <c r="J140" s="57"/>
      <c r="K140" s="57">
        <f t="shared" si="2"/>
        <v>1728</v>
      </c>
      <c r="L140" s="55"/>
      <c r="M140" s="100" t="s">
        <v>407</v>
      </c>
      <c r="N140" s="100" t="s">
        <v>410</v>
      </c>
    </row>
    <row r="141" spans="1:14" ht="15" customHeight="1" x14ac:dyDescent="0.25">
      <c r="A141" s="58" t="s">
        <v>136</v>
      </c>
      <c r="B141" s="59">
        <v>46072</v>
      </c>
      <c r="C141" s="59">
        <v>46072</v>
      </c>
      <c r="D141" s="60" t="s">
        <v>133</v>
      </c>
      <c r="E141" s="60" t="s">
        <v>17</v>
      </c>
      <c r="F141" s="60"/>
      <c r="G141" s="60" t="s">
        <v>10</v>
      </c>
      <c r="H141" s="61">
        <v>268.08</v>
      </c>
      <c r="I141" s="62">
        <v>1578.99</v>
      </c>
      <c r="J141" s="62">
        <v>1578.99</v>
      </c>
      <c r="K141" s="62">
        <f t="shared" si="2"/>
        <v>0</v>
      </c>
      <c r="L141" s="60"/>
      <c r="M141" s="100" t="s">
        <v>407</v>
      </c>
      <c r="N141" s="100" t="s">
        <v>410</v>
      </c>
    </row>
    <row r="142" spans="1:14" ht="15" customHeight="1" x14ac:dyDescent="0.25">
      <c r="A142" s="53" t="s">
        <v>132</v>
      </c>
      <c r="B142" s="54">
        <v>46072</v>
      </c>
      <c r="C142" s="55"/>
      <c r="D142" s="55" t="s">
        <v>158</v>
      </c>
      <c r="E142" s="55"/>
      <c r="F142" s="55"/>
      <c r="G142" s="55"/>
      <c r="H142" s="56"/>
      <c r="I142" s="57">
        <v>1144</v>
      </c>
      <c r="J142" s="57"/>
      <c r="K142" s="57">
        <f t="shared" si="2"/>
        <v>1144</v>
      </c>
      <c r="L142" s="55"/>
      <c r="M142" s="100" t="s">
        <v>407</v>
      </c>
      <c r="N142" s="100" t="s">
        <v>410</v>
      </c>
    </row>
    <row r="143" spans="1:14" ht="15" customHeight="1" x14ac:dyDescent="0.25">
      <c r="A143" s="58" t="s">
        <v>136</v>
      </c>
      <c r="B143" s="59">
        <v>46073</v>
      </c>
      <c r="C143" s="59">
        <v>46073</v>
      </c>
      <c r="D143" s="60" t="s">
        <v>138</v>
      </c>
      <c r="E143" s="60" t="s">
        <v>16</v>
      </c>
      <c r="F143" s="60"/>
      <c r="G143" s="60" t="s">
        <v>10</v>
      </c>
      <c r="H143" s="61">
        <v>546</v>
      </c>
      <c r="I143" s="62">
        <v>3052.14</v>
      </c>
      <c r="J143" s="62">
        <v>3052.14</v>
      </c>
      <c r="K143" s="62">
        <f t="shared" si="2"/>
        <v>0</v>
      </c>
      <c r="L143" s="60"/>
      <c r="M143" s="100" t="s">
        <v>407</v>
      </c>
      <c r="N143" s="100" t="s">
        <v>410</v>
      </c>
    </row>
    <row r="144" spans="1:14" ht="15" customHeight="1" x14ac:dyDescent="0.25">
      <c r="A144" s="58" t="s">
        <v>136</v>
      </c>
      <c r="B144" s="59">
        <v>46073</v>
      </c>
      <c r="C144" s="59">
        <v>46073</v>
      </c>
      <c r="D144" s="60" t="s">
        <v>138</v>
      </c>
      <c r="E144" s="60" t="s">
        <v>16</v>
      </c>
      <c r="F144" s="60"/>
      <c r="G144" s="60" t="s">
        <v>11</v>
      </c>
      <c r="H144" s="61">
        <v>478.03</v>
      </c>
      <c r="I144" s="62">
        <v>2672.19</v>
      </c>
      <c r="J144" s="62">
        <v>2672.19</v>
      </c>
      <c r="K144" s="62">
        <f t="shared" si="2"/>
        <v>0</v>
      </c>
      <c r="L144" s="60"/>
      <c r="M144" s="100" t="s">
        <v>407</v>
      </c>
      <c r="N144" s="100" t="s">
        <v>410</v>
      </c>
    </row>
    <row r="145" spans="1:14" ht="15" customHeight="1" x14ac:dyDescent="0.25">
      <c r="A145" s="53" t="s">
        <v>132</v>
      </c>
      <c r="B145" s="54">
        <v>46073</v>
      </c>
      <c r="C145" s="55"/>
      <c r="D145" s="55" t="s">
        <v>139</v>
      </c>
      <c r="E145" s="55"/>
      <c r="F145" s="55"/>
      <c r="G145" s="55"/>
      <c r="H145" s="56"/>
      <c r="I145" s="57">
        <v>2182.83</v>
      </c>
      <c r="J145" s="57"/>
      <c r="K145" s="57">
        <f t="shared" si="2"/>
        <v>2182.83</v>
      </c>
      <c r="L145" s="55"/>
      <c r="M145" s="100" t="s">
        <v>407</v>
      </c>
      <c r="N145" s="100" t="s">
        <v>410</v>
      </c>
    </row>
    <row r="146" spans="1:14" ht="15" customHeight="1" x14ac:dyDescent="0.25">
      <c r="A146" s="58" t="s">
        <v>136</v>
      </c>
      <c r="B146" s="59">
        <v>46073</v>
      </c>
      <c r="C146" s="59">
        <v>46073</v>
      </c>
      <c r="D146" s="60" t="s">
        <v>159</v>
      </c>
      <c r="E146" s="60" t="s">
        <v>71</v>
      </c>
      <c r="F146" s="60"/>
      <c r="G146" s="60" t="s">
        <v>12</v>
      </c>
      <c r="H146" s="61">
        <v>28.1</v>
      </c>
      <c r="I146" s="62">
        <v>182.37</v>
      </c>
      <c r="J146" s="62">
        <v>182.37</v>
      </c>
      <c r="K146" s="62">
        <f t="shared" si="2"/>
        <v>0</v>
      </c>
      <c r="L146" s="60"/>
      <c r="M146" s="100" t="s">
        <v>407</v>
      </c>
      <c r="N146" s="100" t="s">
        <v>410</v>
      </c>
    </row>
    <row r="147" spans="1:14" ht="15" customHeight="1" x14ac:dyDescent="0.25">
      <c r="A147" s="58" t="s">
        <v>136</v>
      </c>
      <c r="B147" s="59">
        <v>46073</v>
      </c>
      <c r="C147" s="59">
        <v>46073</v>
      </c>
      <c r="D147" s="60" t="s">
        <v>133</v>
      </c>
      <c r="E147" s="60" t="s">
        <v>17</v>
      </c>
      <c r="F147" s="60"/>
      <c r="G147" s="60" t="s">
        <v>10</v>
      </c>
      <c r="H147" s="61">
        <v>328.01</v>
      </c>
      <c r="I147" s="62">
        <v>1931.98</v>
      </c>
      <c r="J147" s="62">
        <v>1931.98</v>
      </c>
      <c r="K147" s="62">
        <f t="shared" si="2"/>
        <v>0</v>
      </c>
      <c r="L147" s="60"/>
      <c r="M147" s="100" t="s">
        <v>407</v>
      </c>
      <c r="N147" s="100" t="s">
        <v>410</v>
      </c>
    </row>
    <row r="148" spans="1:14" ht="15" customHeight="1" x14ac:dyDescent="0.25">
      <c r="A148" s="53" t="s">
        <v>132</v>
      </c>
      <c r="B148" s="54">
        <v>46075</v>
      </c>
      <c r="C148" s="55"/>
      <c r="D148" s="55" t="s">
        <v>133</v>
      </c>
      <c r="E148" s="55"/>
      <c r="F148" s="55"/>
      <c r="G148" s="55"/>
      <c r="H148" s="56"/>
      <c r="I148" s="57">
        <v>317.62</v>
      </c>
      <c r="J148" s="57"/>
      <c r="K148" s="57">
        <f t="shared" si="2"/>
        <v>317.62</v>
      </c>
      <c r="L148" s="55"/>
      <c r="M148" s="100" t="s">
        <v>407</v>
      </c>
      <c r="N148" s="100" t="s">
        <v>410</v>
      </c>
    </row>
    <row r="149" spans="1:14" ht="15" customHeight="1" x14ac:dyDescent="0.25">
      <c r="A149" s="58" t="s">
        <v>136</v>
      </c>
      <c r="B149" s="59">
        <v>46076</v>
      </c>
      <c r="C149" s="59">
        <v>46076</v>
      </c>
      <c r="D149" s="60" t="s">
        <v>138</v>
      </c>
      <c r="E149" s="60" t="s">
        <v>16</v>
      </c>
      <c r="F149" s="60"/>
      <c r="G149" s="60" t="s">
        <v>10</v>
      </c>
      <c r="H149" s="61">
        <v>328.02</v>
      </c>
      <c r="I149" s="62">
        <v>1850.04</v>
      </c>
      <c r="J149" s="62">
        <v>1850.03</v>
      </c>
      <c r="K149" s="62">
        <f t="shared" si="2"/>
        <v>9.9999999999909051E-3</v>
      </c>
      <c r="L149" s="60"/>
      <c r="M149" s="100" t="s">
        <v>407</v>
      </c>
      <c r="N149" s="100" t="s">
        <v>410</v>
      </c>
    </row>
    <row r="150" spans="1:14" ht="15" customHeight="1" x14ac:dyDescent="0.25">
      <c r="A150" s="53" t="s">
        <v>132</v>
      </c>
      <c r="B150" s="54">
        <v>46076</v>
      </c>
      <c r="C150" s="55"/>
      <c r="D150" s="55" t="s">
        <v>134</v>
      </c>
      <c r="E150" s="55"/>
      <c r="F150" s="55"/>
      <c r="G150" s="55"/>
      <c r="H150" s="56"/>
      <c r="I150" s="57">
        <v>2194.9</v>
      </c>
      <c r="J150" s="57"/>
      <c r="K150" s="57">
        <f t="shared" si="2"/>
        <v>2194.9</v>
      </c>
      <c r="L150" s="55"/>
      <c r="M150" s="100" t="s">
        <v>407</v>
      </c>
      <c r="N150" s="100" t="s">
        <v>410</v>
      </c>
    </row>
    <row r="151" spans="1:14" ht="15" customHeight="1" x14ac:dyDescent="0.25">
      <c r="A151" s="53" t="s">
        <v>132</v>
      </c>
      <c r="B151" s="54">
        <v>46077</v>
      </c>
      <c r="C151" s="55"/>
      <c r="D151" s="55" t="s">
        <v>137</v>
      </c>
      <c r="E151" s="55"/>
      <c r="F151" s="55"/>
      <c r="G151" s="55"/>
      <c r="H151" s="56"/>
      <c r="I151" s="57">
        <v>9320.17</v>
      </c>
      <c r="J151" s="57"/>
      <c r="K151" s="57">
        <f t="shared" si="2"/>
        <v>9320.17</v>
      </c>
      <c r="L151" s="55"/>
      <c r="M151" s="100" t="s">
        <v>407</v>
      </c>
      <c r="N151" s="100" t="s">
        <v>410</v>
      </c>
    </row>
    <row r="152" spans="1:14" ht="15" customHeight="1" x14ac:dyDescent="0.25">
      <c r="A152" s="58" t="s">
        <v>136</v>
      </c>
      <c r="B152" s="59">
        <v>46077</v>
      </c>
      <c r="C152" s="59">
        <v>46077</v>
      </c>
      <c r="D152" s="60" t="s">
        <v>138</v>
      </c>
      <c r="E152" s="60" t="s">
        <v>16</v>
      </c>
      <c r="F152" s="60"/>
      <c r="G152" s="60" t="s">
        <v>10</v>
      </c>
      <c r="H152" s="61">
        <v>365</v>
      </c>
      <c r="I152" s="62">
        <v>2058.6</v>
      </c>
      <c r="J152" s="62">
        <v>2058.6</v>
      </c>
      <c r="K152" s="62">
        <f t="shared" si="2"/>
        <v>0</v>
      </c>
      <c r="L152" s="60"/>
      <c r="M152" s="100" t="s">
        <v>407</v>
      </c>
      <c r="N152" s="100" t="s">
        <v>410</v>
      </c>
    </row>
    <row r="153" spans="1:14" ht="15" customHeight="1" x14ac:dyDescent="0.25">
      <c r="A153" s="53" t="s">
        <v>132</v>
      </c>
      <c r="B153" s="54">
        <v>46077</v>
      </c>
      <c r="C153" s="55"/>
      <c r="D153" s="55" t="s">
        <v>135</v>
      </c>
      <c r="E153" s="55"/>
      <c r="F153" s="55"/>
      <c r="G153" s="55"/>
      <c r="H153" s="56"/>
      <c r="I153" s="57">
        <v>2198.33</v>
      </c>
      <c r="J153" s="57"/>
      <c r="K153" s="57">
        <f t="shared" si="2"/>
        <v>2198.33</v>
      </c>
      <c r="L153" s="55"/>
      <c r="M153" s="100" t="s">
        <v>407</v>
      </c>
      <c r="N153" s="100" t="s">
        <v>410</v>
      </c>
    </row>
    <row r="154" spans="1:14" ht="15" customHeight="1" x14ac:dyDescent="0.25">
      <c r="A154" s="58" t="s">
        <v>136</v>
      </c>
      <c r="B154" s="59">
        <v>46078</v>
      </c>
      <c r="C154" s="59">
        <v>46078</v>
      </c>
      <c r="D154" s="60" t="s">
        <v>138</v>
      </c>
      <c r="E154" s="60" t="s">
        <v>16</v>
      </c>
      <c r="F154" s="60"/>
      <c r="G154" s="60" t="s">
        <v>10</v>
      </c>
      <c r="H154" s="61">
        <v>605.01</v>
      </c>
      <c r="I154" s="62">
        <v>3412.26</v>
      </c>
      <c r="J154" s="62">
        <v>3412.26</v>
      </c>
      <c r="K154" s="62">
        <f t="shared" si="2"/>
        <v>0</v>
      </c>
      <c r="L154" s="60"/>
      <c r="M154" s="100" t="s">
        <v>407</v>
      </c>
      <c r="N154" s="100" t="s">
        <v>410</v>
      </c>
    </row>
    <row r="155" spans="1:14" ht="15" customHeight="1" x14ac:dyDescent="0.25">
      <c r="A155" s="53" t="s">
        <v>132</v>
      </c>
      <c r="B155" s="54">
        <v>46078</v>
      </c>
      <c r="C155" s="55"/>
      <c r="D155" s="55" t="s">
        <v>134</v>
      </c>
      <c r="E155" s="55"/>
      <c r="F155" s="55"/>
      <c r="G155" s="55"/>
      <c r="H155" s="56"/>
      <c r="I155" s="57">
        <v>3843.08</v>
      </c>
      <c r="J155" s="57"/>
      <c r="K155" s="57">
        <f t="shared" si="2"/>
        <v>3843.08</v>
      </c>
      <c r="L155" s="55"/>
      <c r="M155" s="100" t="s">
        <v>407</v>
      </c>
      <c r="N155" s="100" t="s">
        <v>410</v>
      </c>
    </row>
    <row r="156" spans="1:14" ht="15" customHeight="1" x14ac:dyDescent="0.25">
      <c r="A156" s="53" t="s">
        <v>132</v>
      </c>
      <c r="B156" s="54">
        <v>46078</v>
      </c>
      <c r="C156" s="55"/>
      <c r="D156" s="55" t="s">
        <v>134</v>
      </c>
      <c r="E156" s="55"/>
      <c r="F156" s="55"/>
      <c r="G156" s="55"/>
      <c r="H156" s="56"/>
      <c r="I156" s="57">
        <v>71.33</v>
      </c>
      <c r="J156" s="57"/>
      <c r="K156" s="57">
        <f t="shared" si="2"/>
        <v>71.33</v>
      </c>
      <c r="L156" s="55"/>
      <c r="M156" s="100" t="s">
        <v>407</v>
      </c>
      <c r="N156" s="100" t="s">
        <v>410</v>
      </c>
    </row>
    <row r="157" spans="1:14" ht="15" customHeight="1" x14ac:dyDescent="0.25">
      <c r="A157" s="58" t="s">
        <v>136</v>
      </c>
      <c r="B157" s="59">
        <v>46078</v>
      </c>
      <c r="C157" s="59">
        <v>46065</v>
      </c>
      <c r="D157" s="60" t="s">
        <v>160</v>
      </c>
      <c r="E157" s="60" t="s">
        <v>70</v>
      </c>
      <c r="F157" s="60"/>
      <c r="G157" s="60" t="s">
        <v>12</v>
      </c>
      <c r="H157" s="61">
        <v>31.95</v>
      </c>
      <c r="I157" s="62">
        <v>212.16</v>
      </c>
      <c r="J157" s="62">
        <v>212.15</v>
      </c>
      <c r="K157" s="62">
        <f t="shared" si="2"/>
        <v>9.9999999999909051E-3</v>
      </c>
      <c r="L157" s="60"/>
      <c r="M157" s="100" t="s">
        <v>407</v>
      </c>
      <c r="N157" s="100" t="s">
        <v>410</v>
      </c>
    </row>
    <row r="158" spans="1:14" ht="15" customHeight="1" x14ac:dyDescent="0.25">
      <c r="A158" s="63" t="s">
        <v>142</v>
      </c>
      <c r="B158" s="64">
        <v>46079</v>
      </c>
      <c r="C158" s="64">
        <v>46079</v>
      </c>
      <c r="D158" s="65" t="s">
        <v>138</v>
      </c>
      <c r="E158" s="65" t="s">
        <v>16</v>
      </c>
      <c r="F158" s="65"/>
      <c r="G158" s="65" t="s">
        <v>10</v>
      </c>
      <c r="H158" s="66">
        <v>504.11</v>
      </c>
      <c r="I158" s="67">
        <v>2842.62</v>
      </c>
      <c r="J158" s="67">
        <v>2842.68</v>
      </c>
      <c r="K158" s="67">
        <f t="shared" si="2"/>
        <v>-5.999999999994543E-2</v>
      </c>
      <c r="L158" s="65"/>
      <c r="M158" s="100" t="s">
        <v>407</v>
      </c>
      <c r="N158" s="100" t="s">
        <v>410</v>
      </c>
    </row>
    <row r="159" spans="1:14" ht="15" customHeight="1" x14ac:dyDescent="0.25">
      <c r="A159" s="58" t="s">
        <v>136</v>
      </c>
      <c r="B159" s="59">
        <v>46079</v>
      </c>
      <c r="C159" s="59">
        <v>46079</v>
      </c>
      <c r="D159" s="60" t="s">
        <v>138</v>
      </c>
      <c r="E159" s="60" t="s">
        <v>16</v>
      </c>
      <c r="F159" s="60"/>
      <c r="G159" s="60" t="s">
        <v>11</v>
      </c>
      <c r="H159" s="61">
        <v>407.05</v>
      </c>
      <c r="I159" s="62">
        <v>2255.06</v>
      </c>
      <c r="J159" s="62">
        <v>2255.06</v>
      </c>
      <c r="K159" s="62">
        <f t="shared" si="2"/>
        <v>0</v>
      </c>
      <c r="L159" s="60"/>
      <c r="M159" s="100" t="s">
        <v>407</v>
      </c>
      <c r="N159" s="100" t="s">
        <v>410</v>
      </c>
    </row>
    <row r="160" spans="1:14" ht="15" customHeight="1" x14ac:dyDescent="0.25">
      <c r="A160" s="58" t="s">
        <v>136</v>
      </c>
      <c r="B160" s="59">
        <v>46079</v>
      </c>
      <c r="C160" s="59">
        <v>46079</v>
      </c>
      <c r="D160" s="60" t="s">
        <v>138</v>
      </c>
      <c r="E160" s="60" t="s">
        <v>16</v>
      </c>
      <c r="F160" s="60"/>
      <c r="G160" s="60" t="s">
        <v>10</v>
      </c>
      <c r="H160" s="61">
        <v>464</v>
      </c>
      <c r="I160" s="62">
        <v>2616.9699999999998</v>
      </c>
      <c r="J160" s="62">
        <v>2616.96</v>
      </c>
      <c r="K160" s="62">
        <f t="shared" si="2"/>
        <v>9.9999999997635314E-3</v>
      </c>
      <c r="L160" s="60"/>
      <c r="M160" s="100" t="s">
        <v>407</v>
      </c>
      <c r="N160" s="100" t="s">
        <v>410</v>
      </c>
    </row>
    <row r="161" spans="1:14" ht="15" customHeight="1" x14ac:dyDescent="0.25">
      <c r="A161" s="53" t="s">
        <v>132</v>
      </c>
      <c r="B161" s="54">
        <v>46079</v>
      </c>
      <c r="C161" s="55"/>
      <c r="D161" s="55" t="s">
        <v>149</v>
      </c>
      <c r="E161" s="55"/>
      <c r="F161" s="55"/>
      <c r="G161" s="55"/>
      <c r="H161" s="56"/>
      <c r="I161" s="57">
        <v>1123.2</v>
      </c>
      <c r="J161" s="57"/>
      <c r="K161" s="57">
        <f t="shared" si="2"/>
        <v>1123.2</v>
      </c>
      <c r="L161" s="55"/>
      <c r="M161" s="100" t="s">
        <v>407</v>
      </c>
      <c r="N161" s="100" t="s">
        <v>410</v>
      </c>
    </row>
    <row r="162" spans="1:14" ht="15" customHeight="1" x14ac:dyDescent="0.25">
      <c r="A162" s="53" t="s">
        <v>132</v>
      </c>
      <c r="B162" s="54">
        <v>46079</v>
      </c>
      <c r="C162" s="55"/>
      <c r="D162" s="55" t="s">
        <v>141</v>
      </c>
      <c r="E162" s="55"/>
      <c r="F162" s="55"/>
      <c r="G162" s="55"/>
      <c r="H162" s="56"/>
      <c r="I162" s="57">
        <v>3310.23</v>
      </c>
      <c r="J162" s="57"/>
      <c r="K162" s="57">
        <f t="shared" si="2"/>
        <v>3310.23</v>
      </c>
      <c r="L162" s="55"/>
      <c r="M162" s="100" t="s">
        <v>407</v>
      </c>
      <c r="N162" s="100" t="s">
        <v>410</v>
      </c>
    </row>
    <row r="163" spans="1:14" ht="15" customHeight="1" x14ac:dyDescent="0.25">
      <c r="A163" s="53" t="s">
        <v>132</v>
      </c>
      <c r="B163" s="54">
        <v>46079</v>
      </c>
      <c r="C163" s="55"/>
      <c r="D163" s="55" t="s">
        <v>143</v>
      </c>
      <c r="E163" s="55"/>
      <c r="F163" s="55"/>
      <c r="G163" s="55"/>
      <c r="H163" s="56"/>
      <c r="I163" s="57">
        <v>1111.5</v>
      </c>
      <c r="J163" s="57"/>
      <c r="K163" s="57">
        <f t="shared" si="2"/>
        <v>1111.5</v>
      </c>
      <c r="L163" s="55"/>
      <c r="M163" s="100" t="s">
        <v>407</v>
      </c>
      <c r="N163" s="100" t="s">
        <v>410</v>
      </c>
    </row>
    <row r="164" spans="1:14" ht="15" customHeight="1" x14ac:dyDescent="0.25">
      <c r="A164" s="58" t="s">
        <v>136</v>
      </c>
      <c r="B164" s="59">
        <v>46080</v>
      </c>
      <c r="C164" s="59">
        <v>46080</v>
      </c>
      <c r="D164" s="60" t="s">
        <v>133</v>
      </c>
      <c r="E164" s="60" t="s">
        <v>17</v>
      </c>
      <c r="F164" s="60"/>
      <c r="G164" s="60" t="s">
        <v>12</v>
      </c>
      <c r="H164" s="61">
        <v>37.92</v>
      </c>
      <c r="I164" s="62">
        <v>246.1</v>
      </c>
      <c r="J164" s="62">
        <v>246.1</v>
      </c>
      <c r="K164" s="62">
        <f t="shared" si="2"/>
        <v>0</v>
      </c>
      <c r="L164" s="60"/>
      <c r="M164" s="100" t="s">
        <v>407</v>
      </c>
      <c r="N164" s="100" t="s">
        <v>410</v>
      </c>
    </row>
    <row r="165" spans="1:14" ht="15" customHeight="1" x14ac:dyDescent="0.25">
      <c r="A165" s="58" t="s">
        <v>136</v>
      </c>
      <c r="B165" s="59">
        <v>46080</v>
      </c>
      <c r="C165" s="59">
        <v>46080</v>
      </c>
      <c r="D165" s="60" t="s">
        <v>133</v>
      </c>
      <c r="E165" s="60" t="s">
        <v>17</v>
      </c>
      <c r="F165" s="60"/>
      <c r="G165" s="60" t="s">
        <v>11</v>
      </c>
      <c r="H165" s="61">
        <v>460.01</v>
      </c>
      <c r="I165" s="62">
        <v>2709.46</v>
      </c>
      <c r="J165" s="62">
        <v>2709.46</v>
      </c>
      <c r="K165" s="62">
        <f t="shared" si="2"/>
        <v>0</v>
      </c>
      <c r="L165" s="60"/>
      <c r="M165" s="100" t="s">
        <v>407</v>
      </c>
      <c r="N165" s="100" t="s">
        <v>410</v>
      </c>
    </row>
    <row r="166" spans="1:14" ht="15" customHeight="1" x14ac:dyDescent="0.25">
      <c r="A166" s="63" t="s">
        <v>142</v>
      </c>
      <c r="B166" s="64">
        <v>46080</v>
      </c>
      <c r="C166" s="64">
        <v>46080</v>
      </c>
      <c r="D166" s="65" t="s">
        <v>133</v>
      </c>
      <c r="E166" s="65" t="s">
        <v>17</v>
      </c>
      <c r="F166" s="65"/>
      <c r="G166" s="65" t="s">
        <v>10</v>
      </c>
      <c r="H166" s="66">
        <v>313</v>
      </c>
      <c r="I166" s="67">
        <v>1843.6</v>
      </c>
      <c r="J166" s="67">
        <v>1843.57</v>
      </c>
      <c r="K166" s="67">
        <f t="shared" si="2"/>
        <v>2.9999999999972715E-2</v>
      </c>
      <c r="L166" s="65"/>
      <c r="M166" s="100" t="s">
        <v>407</v>
      </c>
      <c r="N166" s="100" t="s">
        <v>410</v>
      </c>
    </row>
    <row r="167" spans="1:14" ht="15" customHeight="1" x14ac:dyDescent="0.25">
      <c r="A167" s="58" t="s">
        <v>136</v>
      </c>
      <c r="B167" s="59">
        <v>46080</v>
      </c>
      <c r="C167" s="59">
        <v>46080</v>
      </c>
      <c r="D167" s="60" t="s">
        <v>138</v>
      </c>
      <c r="E167" s="60" t="s">
        <v>16</v>
      </c>
      <c r="F167" s="60"/>
      <c r="G167" s="60" t="s">
        <v>10</v>
      </c>
      <c r="H167" s="61">
        <v>402.01</v>
      </c>
      <c r="I167" s="62">
        <v>2267.34</v>
      </c>
      <c r="J167" s="62">
        <v>2267.34</v>
      </c>
      <c r="K167" s="62">
        <f t="shared" si="2"/>
        <v>0</v>
      </c>
      <c r="L167" s="60"/>
      <c r="M167" s="100" t="s">
        <v>407</v>
      </c>
      <c r="N167" s="100" t="s">
        <v>410</v>
      </c>
    </row>
    <row r="168" spans="1:14" ht="15" customHeight="1" x14ac:dyDescent="0.25">
      <c r="A168" s="58" t="s">
        <v>136</v>
      </c>
      <c r="B168" s="59">
        <v>46080</v>
      </c>
      <c r="C168" s="59">
        <v>46080</v>
      </c>
      <c r="D168" s="60" t="s">
        <v>138</v>
      </c>
      <c r="E168" s="60" t="s">
        <v>16</v>
      </c>
      <c r="F168" s="60"/>
      <c r="G168" s="60" t="s">
        <v>6</v>
      </c>
      <c r="H168" s="61">
        <v>19</v>
      </c>
      <c r="I168" s="62">
        <v>56.81</v>
      </c>
      <c r="J168" s="62">
        <v>56.81</v>
      </c>
      <c r="K168" s="62">
        <f t="shared" si="2"/>
        <v>0</v>
      </c>
      <c r="L168" s="60"/>
      <c r="M168" s="100" t="s">
        <v>407</v>
      </c>
      <c r="N168" s="100" t="s">
        <v>410</v>
      </c>
    </row>
    <row r="169" spans="1:14" ht="15" customHeight="1" x14ac:dyDescent="0.25">
      <c r="A169" s="53" t="s">
        <v>132</v>
      </c>
      <c r="B169" s="54">
        <v>46081</v>
      </c>
      <c r="C169" s="55"/>
      <c r="D169" s="55" t="s">
        <v>134</v>
      </c>
      <c r="E169" s="55"/>
      <c r="F169" s="55"/>
      <c r="G169" s="55"/>
      <c r="H169" s="56"/>
      <c r="I169" s="57">
        <v>4182.3900000000003</v>
      </c>
      <c r="J169" s="57"/>
      <c r="K169" s="57">
        <f t="shared" si="2"/>
        <v>4182.3900000000003</v>
      </c>
      <c r="L169" s="55"/>
      <c r="M169" s="100" t="s">
        <v>407</v>
      </c>
      <c r="N169" s="100" t="s">
        <v>410</v>
      </c>
    </row>
    <row r="170" spans="1:14" ht="15" customHeight="1" x14ac:dyDescent="0.25">
      <c r="A170" s="53" t="s">
        <v>132</v>
      </c>
      <c r="B170" s="54">
        <v>46082</v>
      </c>
      <c r="C170" s="55"/>
      <c r="D170" s="55" t="s">
        <v>135</v>
      </c>
      <c r="E170" s="55"/>
      <c r="F170" s="55"/>
      <c r="G170" s="55"/>
      <c r="H170" s="56"/>
      <c r="I170" s="57">
        <v>2917.13</v>
      </c>
      <c r="J170" s="57"/>
      <c r="K170" s="57">
        <f t="shared" si="2"/>
        <v>2917.13</v>
      </c>
      <c r="L170" s="55"/>
      <c r="M170" s="100" t="s">
        <v>407</v>
      </c>
      <c r="N170" s="100" t="s">
        <v>410</v>
      </c>
    </row>
    <row r="171" spans="1:14" ht="15" customHeight="1" x14ac:dyDescent="0.25">
      <c r="A171" s="58" t="s">
        <v>136</v>
      </c>
      <c r="B171" s="59">
        <v>46083</v>
      </c>
      <c r="C171" s="59">
        <v>46072</v>
      </c>
      <c r="D171" s="60" t="s">
        <v>140</v>
      </c>
      <c r="E171" s="60" t="s">
        <v>21</v>
      </c>
      <c r="F171" s="60"/>
      <c r="G171" s="60" t="s">
        <v>12</v>
      </c>
      <c r="H171" s="61">
        <v>35.4</v>
      </c>
      <c r="I171" s="62">
        <v>247.09</v>
      </c>
      <c r="J171" s="62">
        <v>247.09</v>
      </c>
      <c r="K171" s="62">
        <f t="shared" si="2"/>
        <v>0</v>
      </c>
      <c r="L171" s="60"/>
      <c r="M171" s="100" t="s">
        <v>407</v>
      </c>
      <c r="N171" s="100" t="s">
        <v>410</v>
      </c>
    </row>
    <row r="172" spans="1:14" ht="15" customHeight="1" x14ac:dyDescent="0.25">
      <c r="A172" s="58" t="s">
        <v>136</v>
      </c>
      <c r="B172" s="59">
        <v>46083</v>
      </c>
      <c r="C172" s="59">
        <v>46079</v>
      </c>
      <c r="D172" s="60" t="s">
        <v>133</v>
      </c>
      <c r="E172" s="60" t="s">
        <v>17</v>
      </c>
      <c r="F172" s="60"/>
      <c r="G172" s="60" t="s">
        <v>12</v>
      </c>
      <c r="H172" s="61">
        <v>44.45</v>
      </c>
      <c r="I172" s="62">
        <v>288.48</v>
      </c>
      <c r="J172" s="62">
        <v>288.48</v>
      </c>
      <c r="K172" s="62">
        <f t="shared" si="2"/>
        <v>0</v>
      </c>
      <c r="L172" s="60"/>
      <c r="M172" s="100" t="s">
        <v>407</v>
      </c>
      <c r="N172" s="100" t="s">
        <v>410</v>
      </c>
    </row>
    <row r="173" spans="1:14" ht="15" customHeight="1" x14ac:dyDescent="0.25">
      <c r="A173" s="58" t="s">
        <v>136</v>
      </c>
      <c r="B173" s="59">
        <v>46083</v>
      </c>
      <c r="C173" s="59">
        <v>46078</v>
      </c>
      <c r="D173" s="60" t="s">
        <v>140</v>
      </c>
      <c r="E173" s="60" t="s">
        <v>21</v>
      </c>
      <c r="F173" s="60"/>
      <c r="G173" s="60" t="s">
        <v>12</v>
      </c>
      <c r="H173" s="61">
        <v>34.67</v>
      </c>
      <c r="I173" s="62">
        <v>242</v>
      </c>
      <c r="J173" s="62">
        <v>242</v>
      </c>
      <c r="K173" s="62">
        <f t="shared" si="2"/>
        <v>0</v>
      </c>
      <c r="L173" s="60"/>
      <c r="M173" s="100" t="s">
        <v>407</v>
      </c>
      <c r="N173" s="100" t="s">
        <v>410</v>
      </c>
    </row>
    <row r="174" spans="1:14" ht="15" customHeight="1" x14ac:dyDescent="0.25">
      <c r="A174" s="53" t="s">
        <v>132</v>
      </c>
      <c r="B174" s="54">
        <v>46083</v>
      </c>
      <c r="C174" s="55"/>
      <c r="D174" s="55" t="s">
        <v>137</v>
      </c>
      <c r="E174" s="55"/>
      <c r="F174" s="55"/>
      <c r="G174" s="55"/>
      <c r="H174" s="56"/>
      <c r="I174" s="57">
        <v>26457.78</v>
      </c>
      <c r="J174" s="57"/>
      <c r="K174" s="57">
        <f t="shared" si="2"/>
        <v>26457.78</v>
      </c>
      <c r="L174" s="55"/>
      <c r="M174" s="100" t="s">
        <v>407</v>
      </c>
      <c r="N174" s="100" t="s">
        <v>410</v>
      </c>
    </row>
    <row r="175" spans="1:14" ht="15" customHeight="1" x14ac:dyDescent="0.25">
      <c r="A175" s="53" t="s">
        <v>132</v>
      </c>
      <c r="B175" s="54">
        <v>46084</v>
      </c>
      <c r="C175" s="55"/>
      <c r="D175" s="55" t="s">
        <v>161</v>
      </c>
      <c r="E175" s="55"/>
      <c r="F175" s="55"/>
      <c r="G175" s="55"/>
      <c r="H175" s="56"/>
      <c r="I175" s="57">
        <v>1244.19</v>
      </c>
      <c r="J175" s="57"/>
      <c r="K175" s="57">
        <f t="shared" si="2"/>
        <v>1244.19</v>
      </c>
      <c r="L175" s="55"/>
      <c r="M175" s="100" t="s">
        <v>407</v>
      </c>
      <c r="N175" s="100" t="s">
        <v>410</v>
      </c>
    </row>
    <row r="176" spans="1:14" ht="15" customHeight="1" x14ac:dyDescent="0.25">
      <c r="A176" s="53" t="s">
        <v>132</v>
      </c>
      <c r="B176" s="54">
        <v>46084</v>
      </c>
      <c r="C176" s="55"/>
      <c r="D176" s="55" t="s">
        <v>162</v>
      </c>
      <c r="E176" s="55"/>
      <c r="F176" s="55"/>
      <c r="G176" s="55"/>
      <c r="H176" s="56"/>
      <c r="I176" s="57">
        <v>4167.8599999999997</v>
      </c>
      <c r="J176" s="57"/>
      <c r="K176" s="57">
        <f t="shared" si="2"/>
        <v>4167.8599999999997</v>
      </c>
      <c r="L176" s="55"/>
      <c r="M176" s="100" t="s">
        <v>407</v>
      </c>
      <c r="N176" s="100" t="s">
        <v>410</v>
      </c>
    </row>
    <row r="177" spans="1:14" ht="15" customHeight="1" x14ac:dyDescent="0.25">
      <c r="A177" s="58" t="s">
        <v>136</v>
      </c>
      <c r="B177" s="59">
        <v>46085</v>
      </c>
      <c r="C177" s="59">
        <v>46085</v>
      </c>
      <c r="D177" s="60" t="s">
        <v>133</v>
      </c>
      <c r="E177" s="60" t="s">
        <v>17</v>
      </c>
      <c r="F177" s="60"/>
      <c r="G177" s="60" t="s">
        <v>10</v>
      </c>
      <c r="H177" s="61">
        <v>450</v>
      </c>
      <c r="I177" s="62">
        <v>2740.5</v>
      </c>
      <c r="J177" s="62">
        <v>2740.5</v>
      </c>
      <c r="K177" s="62">
        <f t="shared" si="2"/>
        <v>0</v>
      </c>
      <c r="L177" s="60"/>
      <c r="M177" s="100" t="s">
        <v>407</v>
      </c>
      <c r="N177" s="100" t="s">
        <v>410</v>
      </c>
    </row>
    <row r="178" spans="1:14" ht="15" customHeight="1" x14ac:dyDescent="0.25">
      <c r="A178" s="53" t="s">
        <v>132</v>
      </c>
      <c r="B178" s="54">
        <v>46085</v>
      </c>
      <c r="C178" s="55"/>
      <c r="D178" s="55" t="s">
        <v>163</v>
      </c>
      <c r="E178" s="55"/>
      <c r="F178" s="55"/>
      <c r="G178" s="55"/>
      <c r="H178" s="56"/>
      <c r="I178" s="57">
        <v>2166.5</v>
      </c>
      <c r="J178" s="57"/>
      <c r="K178" s="57">
        <f t="shared" si="2"/>
        <v>2166.5</v>
      </c>
      <c r="L178" s="55"/>
      <c r="M178" s="100" t="s">
        <v>407</v>
      </c>
      <c r="N178" s="100" t="s">
        <v>410</v>
      </c>
    </row>
    <row r="179" spans="1:14" ht="15" customHeight="1" x14ac:dyDescent="0.25">
      <c r="A179" s="58" t="s">
        <v>136</v>
      </c>
      <c r="B179" s="59">
        <v>46086</v>
      </c>
      <c r="C179" s="59">
        <v>46086</v>
      </c>
      <c r="D179" s="60" t="s">
        <v>138</v>
      </c>
      <c r="E179" s="60" t="s">
        <v>16</v>
      </c>
      <c r="F179" s="60"/>
      <c r="G179" s="60" t="s">
        <v>10</v>
      </c>
      <c r="H179" s="61">
        <v>471.01</v>
      </c>
      <c r="I179" s="62">
        <v>2774.25</v>
      </c>
      <c r="J179" s="62">
        <v>2774.25</v>
      </c>
      <c r="K179" s="62">
        <f t="shared" si="2"/>
        <v>0</v>
      </c>
      <c r="L179" s="60"/>
      <c r="M179" s="100" t="s">
        <v>407</v>
      </c>
      <c r="N179" s="100" t="s">
        <v>410</v>
      </c>
    </row>
    <row r="180" spans="1:14" ht="15" customHeight="1" x14ac:dyDescent="0.25">
      <c r="A180" s="58" t="s">
        <v>136</v>
      </c>
      <c r="B180" s="59">
        <v>46086</v>
      </c>
      <c r="C180" s="59">
        <v>46086</v>
      </c>
      <c r="D180" s="60" t="s">
        <v>138</v>
      </c>
      <c r="E180" s="60" t="s">
        <v>16</v>
      </c>
      <c r="F180" s="60"/>
      <c r="G180" s="60" t="s">
        <v>10</v>
      </c>
      <c r="H180" s="61">
        <v>494.04</v>
      </c>
      <c r="I180" s="62">
        <v>2909.9</v>
      </c>
      <c r="J180" s="62">
        <v>2909.9</v>
      </c>
      <c r="K180" s="62">
        <f t="shared" si="2"/>
        <v>0</v>
      </c>
      <c r="L180" s="60"/>
      <c r="M180" s="100" t="s">
        <v>407</v>
      </c>
      <c r="N180" s="100" t="s">
        <v>410</v>
      </c>
    </row>
    <row r="181" spans="1:14" ht="15" customHeight="1" x14ac:dyDescent="0.25">
      <c r="A181" s="58" t="s">
        <v>136</v>
      </c>
      <c r="B181" s="59">
        <v>46086</v>
      </c>
      <c r="C181" s="59">
        <v>46086</v>
      </c>
      <c r="D181" s="60" t="s">
        <v>138</v>
      </c>
      <c r="E181" s="60" t="s">
        <v>16</v>
      </c>
      <c r="F181" s="60"/>
      <c r="G181" s="60" t="s">
        <v>10</v>
      </c>
      <c r="H181" s="61">
        <v>338</v>
      </c>
      <c r="I181" s="62">
        <v>1990.82</v>
      </c>
      <c r="J181" s="62">
        <v>1990.82</v>
      </c>
      <c r="K181" s="62">
        <f t="shared" si="2"/>
        <v>0</v>
      </c>
      <c r="L181" s="60"/>
      <c r="M181" s="100" t="s">
        <v>407</v>
      </c>
      <c r="N181" s="100" t="s">
        <v>410</v>
      </c>
    </row>
    <row r="182" spans="1:14" ht="15" customHeight="1" x14ac:dyDescent="0.25">
      <c r="A182" s="53" t="s">
        <v>132</v>
      </c>
      <c r="B182" s="54">
        <v>46086</v>
      </c>
      <c r="C182" s="55"/>
      <c r="D182" s="55" t="s">
        <v>133</v>
      </c>
      <c r="E182" s="55"/>
      <c r="F182" s="55"/>
      <c r="G182" s="55"/>
      <c r="H182" s="56"/>
      <c r="I182" s="57">
        <v>338.45</v>
      </c>
      <c r="J182" s="57"/>
      <c r="K182" s="57">
        <f t="shared" si="2"/>
        <v>338.45</v>
      </c>
      <c r="L182" s="55"/>
      <c r="M182" s="100" t="s">
        <v>407</v>
      </c>
      <c r="N182" s="100" t="s">
        <v>410</v>
      </c>
    </row>
    <row r="183" spans="1:14" ht="15" customHeight="1" x14ac:dyDescent="0.25">
      <c r="A183" s="58" t="s">
        <v>136</v>
      </c>
      <c r="B183" s="59">
        <v>46087</v>
      </c>
      <c r="C183" s="59">
        <v>46071</v>
      </c>
      <c r="D183" s="60" t="s">
        <v>158</v>
      </c>
      <c r="E183" s="60" t="s">
        <v>24</v>
      </c>
      <c r="F183" s="60"/>
      <c r="G183" s="60" t="s">
        <v>12</v>
      </c>
      <c r="H183" s="61">
        <v>38.93</v>
      </c>
      <c r="I183" s="62">
        <v>248.76</v>
      </c>
      <c r="J183" s="62">
        <v>248.76</v>
      </c>
      <c r="K183" s="62">
        <f t="shared" si="2"/>
        <v>0</v>
      </c>
      <c r="L183" s="60"/>
      <c r="M183" s="100" t="s">
        <v>407</v>
      </c>
      <c r="N183" s="100" t="s">
        <v>410</v>
      </c>
    </row>
    <row r="184" spans="1:14" ht="15" customHeight="1" x14ac:dyDescent="0.25">
      <c r="A184" s="58" t="s">
        <v>136</v>
      </c>
      <c r="B184" s="59">
        <v>46087</v>
      </c>
      <c r="C184" s="59">
        <v>46073</v>
      </c>
      <c r="D184" s="60" t="s">
        <v>158</v>
      </c>
      <c r="E184" s="60" t="s">
        <v>24</v>
      </c>
      <c r="F184" s="60"/>
      <c r="G184" s="60" t="s">
        <v>12</v>
      </c>
      <c r="H184" s="61">
        <v>43.91</v>
      </c>
      <c r="I184" s="62">
        <v>280.58</v>
      </c>
      <c r="J184" s="62">
        <v>280.58</v>
      </c>
      <c r="K184" s="62">
        <f t="shared" si="2"/>
        <v>0</v>
      </c>
      <c r="L184" s="60"/>
      <c r="M184" s="100" t="s">
        <v>407</v>
      </c>
      <c r="N184" s="100" t="s">
        <v>410</v>
      </c>
    </row>
    <row r="185" spans="1:14" ht="15" customHeight="1" x14ac:dyDescent="0.25">
      <c r="A185" s="63" t="s">
        <v>142</v>
      </c>
      <c r="B185" s="64">
        <v>46087</v>
      </c>
      <c r="C185" s="64">
        <v>46087</v>
      </c>
      <c r="D185" s="65" t="s">
        <v>133</v>
      </c>
      <c r="E185" s="65" t="s">
        <v>17</v>
      </c>
      <c r="F185" s="65"/>
      <c r="G185" s="65" t="s">
        <v>10</v>
      </c>
      <c r="H185" s="66">
        <v>305.01</v>
      </c>
      <c r="I185" s="67">
        <v>1888.04</v>
      </c>
      <c r="J185" s="67">
        <v>1888.01</v>
      </c>
      <c r="K185" s="67">
        <f t="shared" si="2"/>
        <v>2.9999999999972715E-2</v>
      </c>
      <c r="L185" s="65"/>
      <c r="M185" s="100" t="s">
        <v>407</v>
      </c>
      <c r="N185" s="100" t="s">
        <v>410</v>
      </c>
    </row>
    <row r="186" spans="1:14" ht="15" customHeight="1" x14ac:dyDescent="0.25">
      <c r="A186" s="53" t="s">
        <v>132</v>
      </c>
      <c r="B186" s="54">
        <v>46087</v>
      </c>
      <c r="C186" s="55"/>
      <c r="D186" s="55" t="s">
        <v>164</v>
      </c>
      <c r="E186" s="55"/>
      <c r="F186" s="55"/>
      <c r="G186" s="55"/>
      <c r="H186" s="56"/>
      <c r="I186" s="57">
        <v>1911</v>
      </c>
      <c r="J186" s="57"/>
      <c r="K186" s="57">
        <f t="shared" si="2"/>
        <v>1911</v>
      </c>
      <c r="L186" s="55"/>
      <c r="M186" s="100" t="s">
        <v>407</v>
      </c>
      <c r="N186" s="100" t="s">
        <v>410</v>
      </c>
    </row>
    <row r="187" spans="1:14" ht="15" customHeight="1" x14ac:dyDescent="0.25">
      <c r="A187" s="53" t="s">
        <v>132</v>
      </c>
      <c r="B187" s="54">
        <v>46087</v>
      </c>
      <c r="C187" s="55"/>
      <c r="D187" s="55" t="s">
        <v>165</v>
      </c>
      <c r="E187" s="55"/>
      <c r="F187" s="55"/>
      <c r="G187" s="55"/>
      <c r="H187" s="56"/>
      <c r="I187" s="57">
        <v>4001.23</v>
      </c>
      <c r="J187" s="57"/>
      <c r="K187" s="57">
        <f t="shared" si="2"/>
        <v>4001.23</v>
      </c>
      <c r="L187" s="55"/>
      <c r="M187" s="100" t="s">
        <v>407</v>
      </c>
      <c r="N187" s="100" t="s">
        <v>410</v>
      </c>
    </row>
    <row r="188" spans="1:14" ht="15" customHeight="1" x14ac:dyDescent="0.25">
      <c r="A188" s="53" t="s">
        <v>132</v>
      </c>
      <c r="B188" s="54">
        <v>46088</v>
      </c>
      <c r="C188" s="55"/>
      <c r="D188" s="55" t="s">
        <v>166</v>
      </c>
      <c r="E188" s="55"/>
      <c r="F188" s="55"/>
      <c r="G188" s="55"/>
      <c r="H188" s="56"/>
      <c r="I188" s="57">
        <v>1935.19</v>
      </c>
      <c r="J188" s="57"/>
      <c r="K188" s="57">
        <f t="shared" si="2"/>
        <v>1935.19</v>
      </c>
      <c r="L188" s="55"/>
      <c r="M188" s="100" t="s">
        <v>407</v>
      </c>
      <c r="N188" s="100" t="s">
        <v>410</v>
      </c>
    </row>
    <row r="189" spans="1:14" ht="15" customHeight="1" x14ac:dyDescent="0.25">
      <c r="A189" s="53" t="s">
        <v>132</v>
      </c>
      <c r="B189" s="54">
        <v>46090</v>
      </c>
      <c r="C189" s="55"/>
      <c r="D189" s="55" t="s">
        <v>137</v>
      </c>
      <c r="E189" s="55"/>
      <c r="F189" s="55"/>
      <c r="G189" s="55"/>
      <c r="H189" s="56"/>
      <c r="I189" s="57">
        <v>25997.09</v>
      </c>
      <c r="J189" s="57"/>
      <c r="K189" s="57">
        <f t="shared" si="2"/>
        <v>25997.09</v>
      </c>
      <c r="L189" s="55"/>
      <c r="M189" s="100" t="s">
        <v>407</v>
      </c>
      <c r="N189" s="100" t="s">
        <v>410</v>
      </c>
    </row>
    <row r="190" spans="1:14" ht="15" customHeight="1" x14ac:dyDescent="0.25">
      <c r="A190" s="58" t="s">
        <v>136</v>
      </c>
      <c r="B190" s="59">
        <v>46091</v>
      </c>
      <c r="C190" s="59">
        <v>46085</v>
      </c>
      <c r="D190" s="60" t="s">
        <v>140</v>
      </c>
      <c r="E190" s="60" t="s">
        <v>21</v>
      </c>
      <c r="F190" s="60"/>
      <c r="G190" s="60" t="s">
        <v>12</v>
      </c>
      <c r="H190" s="61">
        <v>44.66</v>
      </c>
      <c r="I190" s="62">
        <v>311.74</v>
      </c>
      <c r="J190" s="62">
        <v>311.73</v>
      </c>
      <c r="K190" s="62">
        <f t="shared" si="2"/>
        <v>9.9999999999909051E-3</v>
      </c>
      <c r="L190" s="60"/>
      <c r="M190" s="100" t="s">
        <v>407</v>
      </c>
      <c r="N190" s="100" t="s">
        <v>410</v>
      </c>
    </row>
    <row r="191" spans="1:14" ht="15" customHeight="1" x14ac:dyDescent="0.25">
      <c r="A191" s="53" t="s">
        <v>132</v>
      </c>
      <c r="B191" s="54">
        <v>46023</v>
      </c>
      <c r="C191" s="55"/>
      <c r="D191" s="55" t="s">
        <v>167</v>
      </c>
      <c r="E191" s="55"/>
      <c r="F191" s="55"/>
      <c r="G191" s="55"/>
      <c r="H191" s="56"/>
      <c r="I191" s="57">
        <v>2803.61</v>
      </c>
      <c r="J191" s="57"/>
      <c r="K191" s="57">
        <f t="shared" si="2"/>
        <v>2803.61</v>
      </c>
      <c r="L191" s="55"/>
      <c r="M191" s="100" t="s">
        <v>407</v>
      </c>
      <c r="N191" s="100" t="s">
        <v>410</v>
      </c>
    </row>
    <row r="192" spans="1:14" ht="15" customHeight="1" x14ac:dyDescent="0.25">
      <c r="A192" s="53" t="s">
        <v>132</v>
      </c>
      <c r="B192" s="54">
        <v>46024</v>
      </c>
      <c r="C192" s="55"/>
      <c r="D192" s="55" t="s">
        <v>167</v>
      </c>
      <c r="E192" s="55"/>
      <c r="F192" s="55"/>
      <c r="G192" s="55"/>
      <c r="H192" s="56"/>
      <c r="I192" s="57">
        <v>3654.4</v>
      </c>
      <c r="J192" s="57"/>
      <c r="K192" s="57">
        <f t="shared" si="2"/>
        <v>3654.4</v>
      </c>
      <c r="L192" s="55"/>
      <c r="M192" s="100" t="s">
        <v>407</v>
      </c>
      <c r="N192" s="100" t="s">
        <v>410</v>
      </c>
    </row>
    <row r="193" spans="1:14" ht="15" customHeight="1" x14ac:dyDescent="0.25">
      <c r="A193" s="53" t="s">
        <v>132</v>
      </c>
      <c r="B193" s="54">
        <v>46024</v>
      </c>
      <c r="C193" s="55"/>
      <c r="D193" s="55" t="s">
        <v>167</v>
      </c>
      <c r="E193" s="55"/>
      <c r="F193" s="55"/>
      <c r="G193" s="55"/>
      <c r="H193" s="56"/>
      <c r="I193" s="57">
        <v>2552.37</v>
      </c>
      <c r="J193" s="57"/>
      <c r="K193" s="57">
        <f t="shared" si="2"/>
        <v>2552.37</v>
      </c>
      <c r="L193" s="55"/>
      <c r="M193" s="100" t="s">
        <v>407</v>
      </c>
      <c r="N193" s="100" t="s">
        <v>410</v>
      </c>
    </row>
    <row r="194" spans="1:14" ht="15" customHeight="1" x14ac:dyDescent="0.25">
      <c r="A194" s="53" t="s">
        <v>132</v>
      </c>
      <c r="B194" s="54">
        <v>46025</v>
      </c>
      <c r="C194" s="55"/>
      <c r="D194" s="55" t="s">
        <v>167</v>
      </c>
      <c r="E194" s="55"/>
      <c r="F194" s="55"/>
      <c r="G194" s="55"/>
      <c r="H194" s="56"/>
      <c r="I194" s="57">
        <v>1381.71</v>
      </c>
      <c r="J194" s="57"/>
      <c r="K194" s="57">
        <f t="shared" si="2"/>
        <v>1381.71</v>
      </c>
      <c r="L194" s="55"/>
      <c r="M194" s="100" t="s">
        <v>407</v>
      </c>
      <c r="N194" s="100" t="s">
        <v>410</v>
      </c>
    </row>
    <row r="195" spans="1:14" ht="15" customHeight="1" x14ac:dyDescent="0.25">
      <c r="A195" s="53" t="s">
        <v>132</v>
      </c>
      <c r="B195" s="54">
        <v>46025</v>
      </c>
      <c r="C195" s="55"/>
      <c r="D195" s="55" t="s">
        <v>167</v>
      </c>
      <c r="E195" s="55"/>
      <c r="F195" s="55"/>
      <c r="G195" s="55"/>
      <c r="H195" s="56"/>
      <c r="I195" s="57">
        <v>3066.58</v>
      </c>
      <c r="J195" s="57"/>
      <c r="K195" s="57">
        <f t="shared" si="2"/>
        <v>3066.58</v>
      </c>
      <c r="L195" s="55"/>
      <c r="M195" s="100" t="s">
        <v>407</v>
      </c>
      <c r="N195" s="100" t="s">
        <v>410</v>
      </c>
    </row>
    <row r="196" spans="1:14" ht="15" customHeight="1" x14ac:dyDescent="0.25">
      <c r="A196" s="53" t="s">
        <v>132</v>
      </c>
      <c r="B196" s="54">
        <v>46026</v>
      </c>
      <c r="C196" s="55"/>
      <c r="D196" s="55" t="s">
        <v>167</v>
      </c>
      <c r="E196" s="55"/>
      <c r="F196" s="55"/>
      <c r="G196" s="55"/>
      <c r="H196" s="56"/>
      <c r="I196" s="57">
        <v>2075.48</v>
      </c>
      <c r="J196" s="57"/>
      <c r="K196" s="57">
        <f t="shared" si="2"/>
        <v>2075.48</v>
      </c>
      <c r="L196" s="55"/>
      <c r="M196" s="100" t="s">
        <v>407</v>
      </c>
      <c r="N196" s="100" t="s">
        <v>410</v>
      </c>
    </row>
    <row r="197" spans="1:14" ht="15" customHeight="1" x14ac:dyDescent="0.25">
      <c r="A197" s="53" t="s">
        <v>132</v>
      </c>
      <c r="B197" s="54">
        <v>46026</v>
      </c>
      <c r="C197" s="55"/>
      <c r="D197" s="55" t="s">
        <v>167</v>
      </c>
      <c r="E197" s="55"/>
      <c r="F197" s="55"/>
      <c r="G197" s="55"/>
      <c r="H197" s="56"/>
      <c r="I197" s="57">
        <v>1953.05</v>
      </c>
      <c r="J197" s="57"/>
      <c r="K197" s="57">
        <f t="shared" ref="K197:K260" si="3">IFERROR(I197-J197,"")</f>
        <v>1953.05</v>
      </c>
      <c r="L197" s="55"/>
      <c r="M197" s="100" t="s">
        <v>407</v>
      </c>
      <c r="N197" s="100" t="s">
        <v>410</v>
      </c>
    </row>
    <row r="198" spans="1:14" ht="15" customHeight="1" x14ac:dyDescent="0.25">
      <c r="A198" s="53" t="s">
        <v>132</v>
      </c>
      <c r="B198" s="54">
        <v>46027</v>
      </c>
      <c r="C198" s="55"/>
      <c r="D198" s="55" t="s">
        <v>167</v>
      </c>
      <c r="E198" s="55"/>
      <c r="F198" s="55"/>
      <c r="G198" s="55"/>
      <c r="H198" s="56"/>
      <c r="I198" s="57">
        <v>1544.95</v>
      </c>
      <c r="J198" s="57"/>
      <c r="K198" s="57">
        <f t="shared" si="3"/>
        <v>1544.95</v>
      </c>
      <c r="L198" s="55"/>
      <c r="M198" s="100" t="s">
        <v>407</v>
      </c>
      <c r="N198" s="100" t="s">
        <v>410</v>
      </c>
    </row>
    <row r="199" spans="1:14" ht="15" customHeight="1" x14ac:dyDescent="0.25">
      <c r="A199" s="53" t="s">
        <v>132</v>
      </c>
      <c r="B199" s="54">
        <v>46027</v>
      </c>
      <c r="C199" s="55"/>
      <c r="D199" s="55" t="s">
        <v>167</v>
      </c>
      <c r="E199" s="55"/>
      <c r="F199" s="55"/>
      <c r="G199" s="55"/>
      <c r="H199" s="56"/>
      <c r="I199" s="57">
        <v>2180.42</v>
      </c>
      <c r="J199" s="57"/>
      <c r="K199" s="57">
        <f t="shared" si="3"/>
        <v>2180.42</v>
      </c>
      <c r="L199" s="55"/>
      <c r="M199" s="100" t="s">
        <v>407</v>
      </c>
      <c r="N199" s="100" t="s">
        <v>410</v>
      </c>
    </row>
    <row r="200" spans="1:14" ht="15" customHeight="1" x14ac:dyDescent="0.25">
      <c r="A200" s="53" t="s">
        <v>132</v>
      </c>
      <c r="B200" s="54">
        <v>46028</v>
      </c>
      <c r="C200" s="55"/>
      <c r="D200" s="55" t="s">
        <v>167</v>
      </c>
      <c r="E200" s="55"/>
      <c r="F200" s="55"/>
      <c r="G200" s="55"/>
      <c r="H200" s="56"/>
      <c r="I200" s="57">
        <v>1626.57</v>
      </c>
      <c r="J200" s="57"/>
      <c r="K200" s="57">
        <f t="shared" si="3"/>
        <v>1626.57</v>
      </c>
      <c r="L200" s="55"/>
      <c r="M200" s="100" t="s">
        <v>407</v>
      </c>
      <c r="N200" s="100" t="s">
        <v>410</v>
      </c>
    </row>
    <row r="201" spans="1:14" ht="15" customHeight="1" x14ac:dyDescent="0.25">
      <c r="A201" s="53" t="s">
        <v>132</v>
      </c>
      <c r="B201" s="54">
        <v>46028</v>
      </c>
      <c r="C201" s="55"/>
      <c r="D201" s="55" t="s">
        <v>167</v>
      </c>
      <c r="E201" s="55"/>
      <c r="F201" s="55"/>
      <c r="G201" s="55"/>
      <c r="H201" s="56"/>
      <c r="I201" s="57">
        <v>2320.34</v>
      </c>
      <c r="J201" s="57"/>
      <c r="K201" s="57">
        <f t="shared" si="3"/>
        <v>2320.34</v>
      </c>
      <c r="L201" s="55"/>
      <c r="M201" s="100" t="s">
        <v>407</v>
      </c>
      <c r="N201" s="100" t="s">
        <v>410</v>
      </c>
    </row>
    <row r="202" spans="1:14" ht="15" customHeight="1" x14ac:dyDescent="0.25">
      <c r="A202" s="53" t="s">
        <v>132</v>
      </c>
      <c r="B202" s="54">
        <v>46029</v>
      </c>
      <c r="C202" s="55"/>
      <c r="D202" s="55" t="s">
        <v>167</v>
      </c>
      <c r="E202" s="55"/>
      <c r="F202" s="55"/>
      <c r="G202" s="55"/>
      <c r="H202" s="56"/>
      <c r="I202" s="57">
        <v>2547.71</v>
      </c>
      <c r="J202" s="57"/>
      <c r="K202" s="57">
        <f t="shared" si="3"/>
        <v>2547.71</v>
      </c>
      <c r="L202" s="55"/>
      <c r="M202" s="100" t="s">
        <v>407</v>
      </c>
      <c r="N202" s="100" t="s">
        <v>410</v>
      </c>
    </row>
    <row r="203" spans="1:14" ht="15" customHeight="1" x14ac:dyDescent="0.25">
      <c r="A203" s="53" t="s">
        <v>132</v>
      </c>
      <c r="B203" s="54">
        <v>46029</v>
      </c>
      <c r="C203" s="55"/>
      <c r="D203" s="55" t="s">
        <v>167</v>
      </c>
      <c r="E203" s="55"/>
      <c r="F203" s="55"/>
      <c r="G203" s="55"/>
      <c r="H203" s="56"/>
      <c r="I203" s="57">
        <v>1142.68</v>
      </c>
      <c r="J203" s="57"/>
      <c r="K203" s="57">
        <f t="shared" si="3"/>
        <v>1142.68</v>
      </c>
      <c r="L203" s="55"/>
      <c r="M203" s="100" t="s">
        <v>407</v>
      </c>
      <c r="N203" s="100" t="s">
        <v>410</v>
      </c>
    </row>
    <row r="204" spans="1:14" ht="15" customHeight="1" x14ac:dyDescent="0.25">
      <c r="A204" s="53" t="s">
        <v>132</v>
      </c>
      <c r="B204" s="54">
        <v>46030</v>
      </c>
      <c r="C204" s="55"/>
      <c r="D204" s="55" t="s">
        <v>167</v>
      </c>
      <c r="E204" s="55"/>
      <c r="F204" s="55"/>
      <c r="G204" s="55"/>
      <c r="H204" s="56"/>
      <c r="I204" s="57">
        <v>996.93</v>
      </c>
      <c r="J204" s="57"/>
      <c r="K204" s="57">
        <f t="shared" si="3"/>
        <v>996.93</v>
      </c>
      <c r="L204" s="55"/>
      <c r="M204" s="100" t="s">
        <v>407</v>
      </c>
      <c r="N204" s="100" t="s">
        <v>410</v>
      </c>
    </row>
    <row r="205" spans="1:14" ht="15" customHeight="1" x14ac:dyDescent="0.25">
      <c r="A205" s="53" t="s">
        <v>132</v>
      </c>
      <c r="B205" s="54">
        <v>46030</v>
      </c>
      <c r="C205" s="55"/>
      <c r="D205" s="55" t="s">
        <v>167</v>
      </c>
      <c r="E205" s="55"/>
      <c r="F205" s="55"/>
      <c r="G205" s="55"/>
      <c r="H205" s="56"/>
      <c r="I205" s="57">
        <v>2104.63</v>
      </c>
      <c r="J205" s="57"/>
      <c r="K205" s="57">
        <f t="shared" si="3"/>
        <v>2104.63</v>
      </c>
      <c r="L205" s="55"/>
      <c r="M205" s="100" t="s">
        <v>407</v>
      </c>
      <c r="N205" s="100" t="s">
        <v>410</v>
      </c>
    </row>
    <row r="206" spans="1:14" ht="15" customHeight="1" x14ac:dyDescent="0.25">
      <c r="A206" s="53" t="s">
        <v>132</v>
      </c>
      <c r="B206" s="54">
        <v>46031</v>
      </c>
      <c r="C206" s="55"/>
      <c r="D206" s="55" t="s">
        <v>167</v>
      </c>
      <c r="E206" s="55"/>
      <c r="F206" s="55"/>
      <c r="G206" s="55"/>
      <c r="H206" s="56"/>
      <c r="I206" s="57">
        <v>1043.57</v>
      </c>
      <c r="J206" s="57"/>
      <c r="K206" s="57">
        <f t="shared" si="3"/>
        <v>1043.57</v>
      </c>
      <c r="L206" s="55"/>
      <c r="M206" s="100" t="s">
        <v>407</v>
      </c>
      <c r="N206" s="100" t="s">
        <v>410</v>
      </c>
    </row>
    <row r="207" spans="1:14" ht="15" customHeight="1" x14ac:dyDescent="0.25">
      <c r="A207" s="53" t="s">
        <v>132</v>
      </c>
      <c r="B207" s="54">
        <v>46031</v>
      </c>
      <c r="C207" s="55"/>
      <c r="D207" s="55" t="s">
        <v>167</v>
      </c>
      <c r="E207" s="55"/>
      <c r="F207" s="55"/>
      <c r="G207" s="55"/>
      <c r="H207" s="56"/>
      <c r="I207" s="57">
        <v>1836.45</v>
      </c>
      <c r="J207" s="57"/>
      <c r="K207" s="57">
        <f t="shared" si="3"/>
        <v>1836.45</v>
      </c>
      <c r="L207" s="55"/>
      <c r="M207" s="100" t="s">
        <v>407</v>
      </c>
      <c r="N207" s="100" t="s">
        <v>410</v>
      </c>
    </row>
    <row r="208" spans="1:14" ht="15" customHeight="1" x14ac:dyDescent="0.25">
      <c r="A208" s="53" t="s">
        <v>132</v>
      </c>
      <c r="B208" s="54">
        <v>46032</v>
      </c>
      <c r="C208" s="55"/>
      <c r="D208" s="55" t="s">
        <v>167</v>
      </c>
      <c r="E208" s="55"/>
      <c r="F208" s="55"/>
      <c r="G208" s="55"/>
      <c r="H208" s="56"/>
      <c r="I208" s="57">
        <v>1958.88</v>
      </c>
      <c r="J208" s="57"/>
      <c r="K208" s="57">
        <f t="shared" si="3"/>
        <v>1958.88</v>
      </c>
      <c r="L208" s="55"/>
      <c r="M208" s="100" t="s">
        <v>407</v>
      </c>
      <c r="N208" s="100" t="s">
        <v>410</v>
      </c>
    </row>
    <row r="209" spans="1:14" ht="15" customHeight="1" x14ac:dyDescent="0.25">
      <c r="A209" s="53" t="s">
        <v>132</v>
      </c>
      <c r="B209" s="54">
        <v>46032</v>
      </c>
      <c r="C209" s="55"/>
      <c r="D209" s="55" t="s">
        <v>167</v>
      </c>
      <c r="E209" s="55"/>
      <c r="F209" s="55"/>
      <c r="G209" s="55"/>
      <c r="H209" s="56"/>
      <c r="I209" s="57">
        <v>4232.58</v>
      </c>
      <c r="J209" s="57"/>
      <c r="K209" s="57">
        <f t="shared" si="3"/>
        <v>4232.58</v>
      </c>
      <c r="L209" s="55"/>
      <c r="M209" s="100" t="s">
        <v>407</v>
      </c>
      <c r="N209" s="100" t="s">
        <v>410</v>
      </c>
    </row>
    <row r="210" spans="1:14" ht="15" customHeight="1" x14ac:dyDescent="0.25">
      <c r="A210" s="53" t="s">
        <v>132</v>
      </c>
      <c r="B210" s="54">
        <v>46033</v>
      </c>
      <c r="C210" s="55"/>
      <c r="D210" s="55" t="s">
        <v>167</v>
      </c>
      <c r="E210" s="55"/>
      <c r="F210" s="55"/>
      <c r="G210" s="55"/>
      <c r="H210" s="56"/>
      <c r="I210" s="57">
        <v>1702.36</v>
      </c>
      <c r="J210" s="57"/>
      <c r="K210" s="57">
        <f t="shared" si="3"/>
        <v>1702.36</v>
      </c>
      <c r="L210" s="55"/>
      <c r="M210" s="100" t="s">
        <v>407</v>
      </c>
      <c r="N210" s="100" t="s">
        <v>410</v>
      </c>
    </row>
    <row r="211" spans="1:14" ht="15" customHeight="1" x14ac:dyDescent="0.25">
      <c r="A211" s="53" t="s">
        <v>132</v>
      </c>
      <c r="B211" s="54">
        <v>46033</v>
      </c>
      <c r="C211" s="55"/>
      <c r="D211" s="55" t="s">
        <v>167</v>
      </c>
      <c r="E211" s="55"/>
      <c r="F211" s="55"/>
      <c r="G211" s="55"/>
      <c r="H211" s="56"/>
      <c r="I211" s="57">
        <v>1813.13</v>
      </c>
      <c r="J211" s="57"/>
      <c r="K211" s="57">
        <f t="shared" si="3"/>
        <v>1813.13</v>
      </c>
      <c r="L211" s="55"/>
      <c r="M211" s="100" t="s">
        <v>407</v>
      </c>
      <c r="N211" s="100" t="s">
        <v>410</v>
      </c>
    </row>
    <row r="212" spans="1:14" ht="15" customHeight="1" x14ac:dyDescent="0.25">
      <c r="A212" s="53" t="s">
        <v>132</v>
      </c>
      <c r="B212" s="54">
        <v>46034</v>
      </c>
      <c r="C212" s="55"/>
      <c r="D212" s="55" t="s">
        <v>167</v>
      </c>
      <c r="E212" s="55"/>
      <c r="F212" s="55"/>
      <c r="G212" s="55"/>
      <c r="H212" s="56"/>
      <c r="I212" s="57">
        <v>1958.88</v>
      </c>
      <c r="J212" s="57"/>
      <c r="K212" s="57">
        <f t="shared" si="3"/>
        <v>1958.88</v>
      </c>
      <c r="L212" s="55"/>
      <c r="M212" s="100" t="s">
        <v>407</v>
      </c>
      <c r="N212" s="100" t="s">
        <v>410</v>
      </c>
    </row>
    <row r="213" spans="1:14" ht="15" customHeight="1" x14ac:dyDescent="0.25">
      <c r="A213" s="53" t="s">
        <v>132</v>
      </c>
      <c r="B213" s="54">
        <v>46034</v>
      </c>
      <c r="C213" s="55"/>
      <c r="D213" s="55" t="s">
        <v>167</v>
      </c>
      <c r="E213" s="55"/>
      <c r="F213" s="55"/>
      <c r="G213" s="55"/>
      <c r="H213" s="56"/>
      <c r="I213" s="57">
        <v>1993.86</v>
      </c>
      <c r="J213" s="57"/>
      <c r="K213" s="57">
        <f t="shared" si="3"/>
        <v>1993.86</v>
      </c>
      <c r="L213" s="55"/>
      <c r="M213" s="100" t="s">
        <v>407</v>
      </c>
      <c r="N213" s="100" t="s">
        <v>410</v>
      </c>
    </row>
    <row r="214" spans="1:14" ht="15" customHeight="1" x14ac:dyDescent="0.25">
      <c r="A214" s="53" t="s">
        <v>132</v>
      </c>
      <c r="B214" s="54">
        <v>46035</v>
      </c>
      <c r="C214" s="55"/>
      <c r="D214" s="55" t="s">
        <v>167</v>
      </c>
      <c r="E214" s="55"/>
      <c r="F214" s="55"/>
      <c r="G214" s="55"/>
      <c r="H214" s="56"/>
      <c r="I214" s="57">
        <v>2524.39</v>
      </c>
      <c r="J214" s="57"/>
      <c r="K214" s="57">
        <f t="shared" si="3"/>
        <v>2524.39</v>
      </c>
      <c r="L214" s="55"/>
      <c r="M214" s="100" t="s">
        <v>407</v>
      </c>
      <c r="N214" s="100" t="s">
        <v>410</v>
      </c>
    </row>
    <row r="215" spans="1:14" ht="15" customHeight="1" x14ac:dyDescent="0.25">
      <c r="A215" s="53" t="s">
        <v>132</v>
      </c>
      <c r="B215" s="54">
        <v>46035</v>
      </c>
      <c r="C215" s="55"/>
      <c r="D215" s="55" t="s">
        <v>167</v>
      </c>
      <c r="E215" s="55"/>
      <c r="F215" s="55"/>
      <c r="G215" s="55"/>
      <c r="H215" s="56"/>
      <c r="I215" s="57">
        <v>1230.1300000000001</v>
      </c>
      <c r="J215" s="57"/>
      <c r="K215" s="57">
        <f t="shared" si="3"/>
        <v>1230.1300000000001</v>
      </c>
      <c r="L215" s="55"/>
      <c r="M215" s="100" t="s">
        <v>407</v>
      </c>
      <c r="N215" s="100" t="s">
        <v>410</v>
      </c>
    </row>
    <row r="216" spans="1:14" ht="15" customHeight="1" x14ac:dyDescent="0.25">
      <c r="A216" s="53" t="s">
        <v>132</v>
      </c>
      <c r="B216" s="54">
        <v>46036</v>
      </c>
      <c r="C216" s="55"/>
      <c r="D216" s="55" t="s">
        <v>167</v>
      </c>
      <c r="E216" s="55"/>
      <c r="F216" s="55"/>
      <c r="G216" s="55"/>
      <c r="H216" s="56"/>
      <c r="I216" s="57">
        <v>1492.48</v>
      </c>
      <c r="J216" s="57"/>
      <c r="K216" s="57">
        <f t="shared" si="3"/>
        <v>1492.48</v>
      </c>
      <c r="L216" s="55"/>
      <c r="M216" s="100" t="s">
        <v>407</v>
      </c>
      <c r="N216" s="100" t="s">
        <v>410</v>
      </c>
    </row>
    <row r="217" spans="1:14" ht="15" customHeight="1" x14ac:dyDescent="0.25">
      <c r="A217" s="53" t="s">
        <v>132</v>
      </c>
      <c r="B217" s="54">
        <v>46036</v>
      </c>
      <c r="C217" s="55"/>
      <c r="D217" s="55" t="s">
        <v>167</v>
      </c>
      <c r="E217" s="55"/>
      <c r="F217" s="55"/>
      <c r="G217" s="55"/>
      <c r="H217" s="56"/>
      <c r="I217" s="57">
        <v>1778.15</v>
      </c>
      <c r="J217" s="57"/>
      <c r="K217" s="57">
        <f t="shared" si="3"/>
        <v>1778.15</v>
      </c>
      <c r="L217" s="55"/>
      <c r="M217" s="100" t="s">
        <v>407</v>
      </c>
      <c r="N217" s="100" t="s">
        <v>410</v>
      </c>
    </row>
    <row r="218" spans="1:14" ht="15" customHeight="1" x14ac:dyDescent="0.25">
      <c r="A218" s="53" t="s">
        <v>132</v>
      </c>
      <c r="B218" s="54">
        <v>46037</v>
      </c>
      <c r="C218" s="55"/>
      <c r="D218" s="55" t="s">
        <v>167</v>
      </c>
      <c r="E218" s="55"/>
      <c r="F218" s="55"/>
      <c r="G218" s="55"/>
      <c r="H218" s="56"/>
      <c r="I218" s="57">
        <v>1055.23</v>
      </c>
      <c r="J218" s="57"/>
      <c r="K218" s="57">
        <f t="shared" si="3"/>
        <v>1055.23</v>
      </c>
      <c r="L218" s="55"/>
      <c r="M218" s="100" t="s">
        <v>407</v>
      </c>
      <c r="N218" s="100" t="s">
        <v>410</v>
      </c>
    </row>
    <row r="219" spans="1:14" ht="15" customHeight="1" x14ac:dyDescent="0.25">
      <c r="A219" s="53" t="s">
        <v>132</v>
      </c>
      <c r="B219" s="54">
        <v>46037</v>
      </c>
      <c r="C219" s="55"/>
      <c r="D219" s="55" t="s">
        <v>167</v>
      </c>
      <c r="E219" s="55"/>
      <c r="F219" s="55"/>
      <c r="G219" s="55"/>
      <c r="H219" s="56"/>
      <c r="I219" s="57">
        <v>1667.38</v>
      </c>
      <c r="J219" s="57"/>
      <c r="K219" s="57">
        <f t="shared" si="3"/>
        <v>1667.38</v>
      </c>
      <c r="L219" s="55"/>
      <c r="M219" s="100" t="s">
        <v>407</v>
      </c>
      <c r="N219" s="100" t="s">
        <v>410</v>
      </c>
    </row>
    <row r="220" spans="1:14" ht="15" customHeight="1" x14ac:dyDescent="0.25">
      <c r="A220" s="53" t="s">
        <v>132</v>
      </c>
      <c r="B220" s="54">
        <v>46038</v>
      </c>
      <c r="C220" s="55"/>
      <c r="D220" s="55" t="s">
        <v>167</v>
      </c>
      <c r="E220" s="55"/>
      <c r="F220" s="55"/>
      <c r="G220" s="55"/>
      <c r="H220" s="56"/>
      <c r="I220" s="57">
        <v>973.61</v>
      </c>
      <c r="J220" s="57"/>
      <c r="K220" s="57">
        <f t="shared" si="3"/>
        <v>973.61</v>
      </c>
      <c r="L220" s="55"/>
      <c r="M220" s="100" t="s">
        <v>407</v>
      </c>
      <c r="N220" s="100" t="s">
        <v>410</v>
      </c>
    </row>
    <row r="221" spans="1:14" ht="15" customHeight="1" x14ac:dyDescent="0.25">
      <c r="A221" s="53" t="s">
        <v>132</v>
      </c>
      <c r="B221" s="54">
        <v>46038</v>
      </c>
      <c r="C221" s="55"/>
      <c r="D221" s="55" t="s">
        <v>167</v>
      </c>
      <c r="E221" s="55"/>
      <c r="F221" s="55"/>
      <c r="G221" s="55"/>
      <c r="H221" s="56"/>
      <c r="I221" s="57">
        <v>1515.8</v>
      </c>
      <c r="J221" s="57"/>
      <c r="K221" s="57">
        <f t="shared" si="3"/>
        <v>1515.8</v>
      </c>
      <c r="L221" s="55"/>
      <c r="M221" s="100" t="s">
        <v>407</v>
      </c>
      <c r="N221" s="100" t="s">
        <v>410</v>
      </c>
    </row>
    <row r="222" spans="1:14" ht="15" customHeight="1" x14ac:dyDescent="0.25">
      <c r="A222" s="53" t="s">
        <v>132</v>
      </c>
      <c r="B222" s="54">
        <v>46039</v>
      </c>
      <c r="C222" s="55"/>
      <c r="D222" s="55" t="s">
        <v>167</v>
      </c>
      <c r="E222" s="55"/>
      <c r="F222" s="55"/>
      <c r="G222" s="55"/>
      <c r="H222" s="56"/>
      <c r="I222" s="57">
        <v>1370.05</v>
      </c>
      <c r="J222" s="57"/>
      <c r="K222" s="57">
        <f t="shared" si="3"/>
        <v>1370.05</v>
      </c>
      <c r="L222" s="55"/>
      <c r="M222" s="100" t="s">
        <v>407</v>
      </c>
      <c r="N222" s="100" t="s">
        <v>410</v>
      </c>
    </row>
    <row r="223" spans="1:14" ht="15" customHeight="1" x14ac:dyDescent="0.25">
      <c r="A223" s="53" t="s">
        <v>132</v>
      </c>
      <c r="B223" s="54">
        <v>46039</v>
      </c>
      <c r="C223" s="55"/>
      <c r="D223" s="55" t="s">
        <v>167</v>
      </c>
      <c r="E223" s="55"/>
      <c r="F223" s="55"/>
      <c r="G223" s="55"/>
      <c r="H223" s="56"/>
      <c r="I223" s="57">
        <v>1166</v>
      </c>
      <c r="J223" s="57"/>
      <c r="K223" s="57">
        <f t="shared" si="3"/>
        <v>1166</v>
      </c>
      <c r="L223" s="55"/>
      <c r="M223" s="100" t="s">
        <v>407</v>
      </c>
      <c r="N223" s="100" t="s">
        <v>410</v>
      </c>
    </row>
    <row r="224" spans="1:14" ht="15" customHeight="1" x14ac:dyDescent="0.25">
      <c r="A224" s="53" t="s">
        <v>132</v>
      </c>
      <c r="B224" s="54">
        <v>46040</v>
      </c>
      <c r="C224" s="55"/>
      <c r="D224" s="55" t="s">
        <v>167</v>
      </c>
      <c r="E224" s="55"/>
      <c r="F224" s="55"/>
      <c r="G224" s="55"/>
      <c r="H224" s="56"/>
      <c r="I224" s="57">
        <v>2903.34</v>
      </c>
      <c r="J224" s="57"/>
      <c r="K224" s="57">
        <f t="shared" si="3"/>
        <v>2903.34</v>
      </c>
      <c r="L224" s="55"/>
      <c r="M224" s="100" t="s">
        <v>407</v>
      </c>
      <c r="N224" s="100" t="s">
        <v>410</v>
      </c>
    </row>
    <row r="225" spans="1:14" ht="15" customHeight="1" x14ac:dyDescent="0.25">
      <c r="A225" s="53" t="s">
        <v>132</v>
      </c>
      <c r="B225" s="54">
        <v>46041</v>
      </c>
      <c r="C225" s="55"/>
      <c r="D225" s="55" t="s">
        <v>167</v>
      </c>
      <c r="E225" s="55"/>
      <c r="F225" s="55"/>
      <c r="G225" s="55"/>
      <c r="H225" s="56"/>
      <c r="I225" s="57">
        <v>2915</v>
      </c>
      <c r="J225" s="57"/>
      <c r="K225" s="57">
        <f t="shared" si="3"/>
        <v>2915</v>
      </c>
      <c r="L225" s="55"/>
      <c r="M225" s="100" t="s">
        <v>407</v>
      </c>
      <c r="N225" s="100" t="s">
        <v>410</v>
      </c>
    </row>
    <row r="226" spans="1:14" ht="15" customHeight="1" x14ac:dyDescent="0.25">
      <c r="A226" s="53" t="s">
        <v>132</v>
      </c>
      <c r="B226" s="54">
        <v>46042</v>
      </c>
      <c r="C226" s="55"/>
      <c r="D226" s="55" t="s">
        <v>167</v>
      </c>
      <c r="E226" s="55"/>
      <c r="F226" s="55"/>
      <c r="G226" s="55"/>
      <c r="H226" s="56"/>
      <c r="I226" s="57">
        <v>3183.18</v>
      </c>
      <c r="J226" s="57"/>
      <c r="K226" s="57">
        <f t="shared" si="3"/>
        <v>3183.18</v>
      </c>
      <c r="L226" s="55"/>
      <c r="M226" s="100" t="s">
        <v>407</v>
      </c>
      <c r="N226" s="100" t="s">
        <v>410</v>
      </c>
    </row>
    <row r="227" spans="1:14" ht="15" customHeight="1" x14ac:dyDescent="0.25">
      <c r="A227" s="53" t="s">
        <v>132</v>
      </c>
      <c r="B227" s="54">
        <v>46043</v>
      </c>
      <c r="C227" s="55"/>
      <c r="D227" s="55" t="s">
        <v>167</v>
      </c>
      <c r="E227" s="55"/>
      <c r="F227" s="55"/>
      <c r="G227" s="55"/>
      <c r="H227" s="56"/>
      <c r="I227" s="57">
        <v>3235.65</v>
      </c>
      <c r="J227" s="57"/>
      <c r="K227" s="57">
        <f t="shared" si="3"/>
        <v>3235.65</v>
      </c>
      <c r="L227" s="55"/>
      <c r="M227" s="100" t="s">
        <v>407</v>
      </c>
      <c r="N227" s="100" t="s">
        <v>410</v>
      </c>
    </row>
    <row r="228" spans="1:14" ht="15" customHeight="1" x14ac:dyDescent="0.25">
      <c r="A228" s="53" t="s">
        <v>132</v>
      </c>
      <c r="B228" s="54">
        <v>46044</v>
      </c>
      <c r="C228" s="55"/>
      <c r="D228" s="55" t="s">
        <v>167</v>
      </c>
      <c r="E228" s="55"/>
      <c r="F228" s="55"/>
      <c r="G228" s="55"/>
      <c r="H228" s="56"/>
      <c r="I228" s="57">
        <v>3212.33</v>
      </c>
      <c r="J228" s="57"/>
      <c r="K228" s="57">
        <f t="shared" si="3"/>
        <v>3212.33</v>
      </c>
      <c r="L228" s="55"/>
      <c r="M228" s="100" t="s">
        <v>407</v>
      </c>
      <c r="N228" s="100" t="s">
        <v>410</v>
      </c>
    </row>
    <row r="229" spans="1:14" ht="15" customHeight="1" x14ac:dyDescent="0.25">
      <c r="A229" s="53" t="s">
        <v>132</v>
      </c>
      <c r="B229" s="54">
        <v>46045</v>
      </c>
      <c r="C229" s="55"/>
      <c r="D229" s="55" t="s">
        <v>167</v>
      </c>
      <c r="E229" s="55"/>
      <c r="F229" s="55"/>
      <c r="G229" s="55"/>
      <c r="H229" s="56"/>
      <c r="I229" s="57">
        <v>2220.94</v>
      </c>
      <c r="J229" s="57"/>
      <c r="K229" s="57">
        <f t="shared" si="3"/>
        <v>2220.94</v>
      </c>
      <c r="L229" s="55"/>
      <c r="M229" s="100" t="s">
        <v>407</v>
      </c>
      <c r="N229" s="100" t="s">
        <v>410</v>
      </c>
    </row>
    <row r="230" spans="1:14" ht="15" customHeight="1" x14ac:dyDescent="0.25">
      <c r="A230" s="53" t="s">
        <v>132</v>
      </c>
      <c r="B230" s="54">
        <v>46045</v>
      </c>
      <c r="C230" s="55"/>
      <c r="D230" s="55" t="s">
        <v>167</v>
      </c>
      <c r="E230" s="55"/>
      <c r="F230" s="55"/>
      <c r="G230" s="55"/>
      <c r="H230" s="56"/>
      <c r="I230" s="57">
        <v>1857.62</v>
      </c>
      <c r="J230" s="57"/>
      <c r="K230" s="57">
        <f t="shared" si="3"/>
        <v>1857.62</v>
      </c>
      <c r="L230" s="55"/>
      <c r="M230" s="100" t="s">
        <v>407</v>
      </c>
      <c r="N230" s="100" t="s">
        <v>410</v>
      </c>
    </row>
    <row r="231" spans="1:14" ht="15" customHeight="1" x14ac:dyDescent="0.25">
      <c r="A231" s="53" t="s">
        <v>132</v>
      </c>
      <c r="B231" s="54">
        <v>46046</v>
      </c>
      <c r="C231" s="55"/>
      <c r="D231" s="55" t="s">
        <v>167</v>
      </c>
      <c r="E231" s="55"/>
      <c r="F231" s="55"/>
      <c r="G231" s="55"/>
      <c r="H231" s="56"/>
      <c r="I231" s="57">
        <v>2930</v>
      </c>
      <c r="J231" s="57"/>
      <c r="K231" s="57">
        <f t="shared" si="3"/>
        <v>2930</v>
      </c>
      <c r="L231" s="55"/>
      <c r="M231" s="100" t="s">
        <v>407</v>
      </c>
      <c r="N231" s="100" t="s">
        <v>410</v>
      </c>
    </row>
    <row r="232" spans="1:14" ht="15" customHeight="1" x14ac:dyDescent="0.25">
      <c r="A232" s="53" t="s">
        <v>132</v>
      </c>
      <c r="B232" s="54">
        <v>46046</v>
      </c>
      <c r="C232" s="55"/>
      <c r="D232" s="55" t="s">
        <v>167</v>
      </c>
      <c r="E232" s="55"/>
      <c r="F232" s="55"/>
      <c r="G232" s="55"/>
      <c r="H232" s="56"/>
      <c r="I232" s="57">
        <v>2531.52</v>
      </c>
      <c r="J232" s="57"/>
      <c r="K232" s="57">
        <f t="shared" si="3"/>
        <v>2531.52</v>
      </c>
      <c r="L232" s="55"/>
      <c r="M232" s="100" t="s">
        <v>407</v>
      </c>
      <c r="N232" s="100" t="s">
        <v>410</v>
      </c>
    </row>
    <row r="233" spans="1:14" ht="15" customHeight="1" x14ac:dyDescent="0.25">
      <c r="A233" s="53" t="s">
        <v>132</v>
      </c>
      <c r="B233" s="54">
        <v>46047</v>
      </c>
      <c r="C233" s="55"/>
      <c r="D233" s="55" t="s">
        <v>167</v>
      </c>
      <c r="E233" s="55"/>
      <c r="F233" s="55"/>
      <c r="G233" s="55"/>
      <c r="H233" s="56"/>
      <c r="I233" s="57">
        <v>2390.88</v>
      </c>
      <c r="J233" s="57"/>
      <c r="K233" s="57">
        <f t="shared" si="3"/>
        <v>2390.88</v>
      </c>
      <c r="L233" s="55"/>
      <c r="M233" s="100" t="s">
        <v>407</v>
      </c>
      <c r="N233" s="100" t="s">
        <v>410</v>
      </c>
    </row>
    <row r="234" spans="1:14" ht="15" customHeight="1" x14ac:dyDescent="0.25">
      <c r="A234" s="53" t="s">
        <v>132</v>
      </c>
      <c r="B234" s="54">
        <v>46048</v>
      </c>
      <c r="C234" s="55"/>
      <c r="D234" s="55" t="s">
        <v>167</v>
      </c>
      <c r="E234" s="55"/>
      <c r="F234" s="55"/>
      <c r="G234" s="55"/>
      <c r="H234" s="56"/>
      <c r="I234" s="57">
        <v>2842.1</v>
      </c>
      <c r="J234" s="57"/>
      <c r="K234" s="57">
        <f t="shared" si="3"/>
        <v>2842.1</v>
      </c>
      <c r="L234" s="55"/>
      <c r="M234" s="100" t="s">
        <v>407</v>
      </c>
      <c r="N234" s="100" t="s">
        <v>410</v>
      </c>
    </row>
    <row r="235" spans="1:14" ht="15" customHeight="1" x14ac:dyDescent="0.25">
      <c r="A235" s="53" t="s">
        <v>132</v>
      </c>
      <c r="B235" s="54">
        <v>46048</v>
      </c>
      <c r="C235" s="55"/>
      <c r="D235" s="55" t="s">
        <v>167</v>
      </c>
      <c r="E235" s="55"/>
      <c r="F235" s="55"/>
      <c r="G235" s="55"/>
      <c r="H235" s="56"/>
      <c r="I235" s="57">
        <v>3551.16</v>
      </c>
      <c r="J235" s="57"/>
      <c r="K235" s="57">
        <f t="shared" si="3"/>
        <v>3551.16</v>
      </c>
      <c r="L235" s="55"/>
      <c r="M235" s="100" t="s">
        <v>407</v>
      </c>
      <c r="N235" s="100" t="s">
        <v>410</v>
      </c>
    </row>
    <row r="236" spans="1:14" ht="15" customHeight="1" x14ac:dyDescent="0.25">
      <c r="A236" s="53" t="s">
        <v>132</v>
      </c>
      <c r="B236" s="54">
        <v>46049</v>
      </c>
      <c r="C236" s="55"/>
      <c r="D236" s="55" t="s">
        <v>167</v>
      </c>
      <c r="E236" s="55"/>
      <c r="F236" s="55"/>
      <c r="G236" s="55"/>
      <c r="H236" s="56"/>
      <c r="I236" s="57">
        <v>3398.8</v>
      </c>
      <c r="J236" s="57"/>
      <c r="K236" s="57">
        <f t="shared" si="3"/>
        <v>3398.8</v>
      </c>
      <c r="L236" s="55"/>
      <c r="M236" s="100" t="s">
        <v>407</v>
      </c>
      <c r="N236" s="100" t="s">
        <v>410</v>
      </c>
    </row>
    <row r="237" spans="1:14" ht="15" customHeight="1" x14ac:dyDescent="0.25">
      <c r="A237" s="53" t="s">
        <v>132</v>
      </c>
      <c r="B237" s="54">
        <v>46049</v>
      </c>
      <c r="C237" s="55"/>
      <c r="D237" s="55" t="s">
        <v>167</v>
      </c>
      <c r="E237" s="55"/>
      <c r="F237" s="55"/>
      <c r="G237" s="55"/>
      <c r="H237" s="56"/>
      <c r="I237" s="57">
        <v>2414.3200000000002</v>
      </c>
      <c r="J237" s="57"/>
      <c r="K237" s="57">
        <f t="shared" si="3"/>
        <v>2414.3200000000002</v>
      </c>
      <c r="L237" s="55"/>
      <c r="M237" s="100" t="s">
        <v>407</v>
      </c>
      <c r="N237" s="100" t="s">
        <v>410</v>
      </c>
    </row>
    <row r="238" spans="1:14" ht="15" customHeight="1" x14ac:dyDescent="0.25">
      <c r="A238" s="53" t="s">
        <v>132</v>
      </c>
      <c r="B238" s="54">
        <v>46050</v>
      </c>
      <c r="C238" s="55"/>
      <c r="D238" s="55" t="s">
        <v>167</v>
      </c>
      <c r="E238" s="55"/>
      <c r="F238" s="55"/>
      <c r="G238" s="55"/>
      <c r="H238" s="56"/>
      <c r="I238" s="57">
        <v>2387.2800000000002</v>
      </c>
      <c r="J238" s="57"/>
      <c r="K238" s="57">
        <f t="shared" si="3"/>
        <v>2387.2800000000002</v>
      </c>
      <c r="L238" s="55"/>
      <c r="M238" s="100" t="s">
        <v>407</v>
      </c>
      <c r="N238" s="100" t="s">
        <v>410</v>
      </c>
    </row>
    <row r="239" spans="1:14" ht="15" customHeight="1" x14ac:dyDescent="0.25">
      <c r="A239" s="53" t="s">
        <v>132</v>
      </c>
      <c r="B239" s="54">
        <v>46050</v>
      </c>
      <c r="C239" s="55"/>
      <c r="D239" s="55" t="s">
        <v>167</v>
      </c>
      <c r="E239" s="55"/>
      <c r="F239" s="55"/>
      <c r="G239" s="55"/>
      <c r="H239" s="56"/>
      <c r="I239" s="57">
        <v>2816.52</v>
      </c>
      <c r="J239" s="57"/>
      <c r="K239" s="57">
        <f t="shared" si="3"/>
        <v>2816.52</v>
      </c>
      <c r="L239" s="55"/>
      <c r="M239" s="100" t="s">
        <v>407</v>
      </c>
      <c r="N239" s="100" t="s">
        <v>410</v>
      </c>
    </row>
    <row r="240" spans="1:14" ht="15" customHeight="1" x14ac:dyDescent="0.25">
      <c r="A240" s="53" t="s">
        <v>132</v>
      </c>
      <c r="B240" s="54">
        <v>46051</v>
      </c>
      <c r="C240" s="55"/>
      <c r="D240" s="55" t="s">
        <v>167</v>
      </c>
      <c r="E240" s="55"/>
      <c r="F240" s="55"/>
      <c r="G240" s="55"/>
      <c r="H240" s="56"/>
      <c r="I240" s="57">
        <v>1991.67</v>
      </c>
      <c r="J240" s="57"/>
      <c r="K240" s="57">
        <f t="shared" si="3"/>
        <v>1991.67</v>
      </c>
      <c r="L240" s="55"/>
      <c r="M240" s="100" t="s">
        <v>407</v>
      </c>
      <c r="N240" s="100" t="s">
        <v>410</v>
      </c>
    </row>
    <row r="241" spans="1:14" ht="15" customHeight="1" x14ac:dyDescent="0.25">
      <c r="A241" s="53" t="s">
        <v>132</v>
      </c>
      <c r="B241" s="54">
        <v>46051</v>
      </c>
      <c r="C241" s="55"/>
      <c r="D241" s="55" t="s">
        <v>167</v>
      </c>
      <c r="E241" s="55"/>
      <c r="F241" s="55"/>
      <c r="G241" s="55"/>
      <c r="H241" s="56"/>
      <c r="I241" s="57">
        <v>2109.87</v>
      </c>
      <c r="J241" s="57"/>
      <c r="K241" s="57">
        <f t="shared" si="3"/>
        <v>2109.87</v>
      </c>
      <c r="L241" s="55"/>
      <c r="M241" s="100" t="s">
        <v>407</v>
      </c>
      <c r="N241" s="100" t="s">
        <v>410</v>
      </c>
    </row>
    <row r="242" spans="1:14" ht="15" customHeight="1" x14ac:dyDescent="0.25">
      <c r="A242" s="53" t="s">
        <v>132</v>
      </c>
      <c r="B242" s="54">
        <v>46052</v>
      </c>
      <c r="C242" s="55"/>
      <c r="D242" s="55" t="s">
        <v>167</v>
      </c>
      <c r="E242" s="55"/>
      <c r="F242" s="55"/>
      <c r="G242" s="55"/>
      <c r="H242" s="56"/>
      <c r="I242" s="57">
        <v>1731.63</v>
      </c>
      <c r="J242" s="57"/>
      <c r="K242" s="57">
        <f t="shared" si="3"/>
        <v>1731.63</v>
      </c>
      <c r="L242" s="55"/>
      <c r="M242" s="100" t="s">
        <v>407</v>
      </c>
      <c r="N242" s="100" t="s">
        <v>410</v>
      </c>
    </row>
    <row r="243" spans="1:14" ht="15" customHeight="1" x14ac:dyDescent="0.25">
      <c r="A243" s="53" t="s">
        <v>132</v>
      </c>
      <c r="B243" s="54">
        <v>46053</v>
      </c>
      <c r="C243" s="55"/>
      <c r="D243" s="55" t="s">
        <v>167</v>
      </c>
      <c r="E243" s="55"/>
      <c r="F243" s="55"/>
      <c r="G243" s="55"/>
      <c r="H243" s="56"/>
      <c r="I243" s="57">
        <v>3577.98</v>
      </c>
      <c r="J243" s="57"/>
      <c r="K243" s="57">
        <f t="shared" si="3"/>
        <v>3577.98</v>
      </c>
      <c r="L243" s="55"/>
      <c r="M243" s="100" t="s">
        <v>407</v>
      </c>
      <c r="N243" s="100" t="s">
        <v>410</v>
      </c>
    </row>
    <row r="244" spans="1:14" ht="15" customHeight="1" x14ac:dyDescent="0.25">
      <c r="A244" s="53" t="s">
        <v>132</v>
      </c>
      <c r="B244" s="54">
        <v>46053</v>
      </c>
      <c r="C244" s="55"/>
      <c r="D244" s="55" t="s">
        <v>167</v>
      </c>
      <c r="E244" s="55"/>
      <c r="F244" s="55"/>
      <c r="G244" s="55"/>
      <c r="H244" s="56"/>
      <c r="I244" s="57">
        <v>2348.6</v>
      </c>
      <c r="J244" s="57"/>
      <c r="K244" s="57">
        <f t="shared" si="3"/>
        <v>2348.6</v>
      </c>
      <c r="L244" s="55"/>
      <c r="M244" s="100" t="s">
        <v>407</v>
      </c>
      <c r="N244" s="100" t="s">
        <v>410</v>
      </c>
    </row>
    <row r="245" spans="1:14" ht="15" customHeight="1" x14ac:dyDescent="0.25">
      <c r="A245" s="53" t="s">
        <v>132</v>
      </c>
      <c r="B245" s="54">
        <v>46054</v>
      </c>
      <c r="C245" s="55"/>
      <c r="D245" s="55" t="s">
        <v>167</v>
      </c>
      <c r="E245" s="55"/>
      <c r="F245" s="55"/>
      <c r="G245" s="55"/>
      <c r="H245" s="56"/>
      <c r="I245" s="57">
        <v>2325.4</v>
      </c>
      <c r="J245" s="57"/>
      <c r="K245" s="57">
        <f t="shared" si="3"/>
        <v>2325.4</v>
      </c>
      <c r="L245" s="55"/>
      <c r="M245" s="100" t="s">
        <v>407</v>
      </c>
      <c r="N245" s="100" t="s">
        <v>410</v>
      </c>
    </row>
    <row r="246" spans="1:14" ht="15" customHeight="1" x14ac:dyDescent="0.25">
      <c r="A246" s="53" t="s">
        <v>132</v>
      </c>
      <c r="B246" s="54">
        <v>46054</v>
      </c>
      <c r="C246" s="55"/>
      <c r="D246" s="55" t="s">
        <v>167</v>
      </c>
      <c r="E246" s="55"/>
      <c r="F246" s="55"/>
      <c r="G246" s="55"/>
      <c r="H246" s="56"/>
      <c r="I246" s="57">
        <v>2893.7</v>
      </c>
      <c r="J246" s="57"/>
      <c r="K246" s="57">
        <f t="shared" si="3"/>
        <v>2893.7</v>
      </c>
      <c r="L246" s="55"/>
      <c r="M246" s="100" t="s">
        <v>407</v>
      </c>
      <c r="N246" s="100" t="s">
        <v>410</v>
      </c>
    </row>
    <row r="247" spans="1:14" ht="15" customHeight="1" x14ac:dyDescent="0.25">
      <c r="A247" s="53" t="s">
        <v>132</v>
      </c>
      <c r="B247" s="54">
        <v>46055</v>
      </c>
      <c r="C247" s="55"/>
      <c r="D247" s="55" t="s">
        <v>167</v>
      </c>
      <c r="E247" s="55"/>
      <c r="F247" s="55"/>
      <c r="G247" s="55"/>
      <c r="H247" s="56"/>
      <c r="I247" s="57">
        <v>2818.31</v>
      </c>
      <c r="J247" s="57"/>
      <c r="K247" s="57">
        <f t="shared" si="3"/>
        <v>2818.31</v>
      </c>
      <c r="L247" s="55"/>
      <c r="M247" s="100" t="s">
        <v>407</v>
      </c>
      <c r="N247" s="100" t="s">
        <v>410</v>
      </c>
    </row>
    <row r="248" spans="1:14" ht="15" customHeight="1" x14ac:dyDescent="0.25">
      <c r="A248" s="53" t="s">
        <v>132</v>
      </c>
      <c r="B248" s="54">
        <v>46055</v>
      </c>
      <c r="C248" s="55"/>
      <c r="D248" s="55" t="s">
        <v>167</v>
      </c>
      <c r="E248" s="55"/>
      <c r="F248" s="55"/>
      <c r="G248" s="55"/>
      <c r="H248" s="56"/>
      <c r="I248" s="57">
        <v>2615.35</v>
      </c>
      <c r="J248" s="57"/>
      <c r="K248" s="57">
        <f t="shared" si="3"/>
        <v>2615.35</v>
      </c>
      <c r="L248" s="55"/>
      <c r="M248" s="100" t="s">
        <v>407</v>
      </c>
      <c r="N248" s="100" t="s">
        <v>410</v>
      </c>
    </row>
    <row r="249" spans="1:14" ht="15" customHeight="1" x14ac:dyDescent="0.25">
      <c r="A249" s="53" t="s">
        <v>132</v>
      </c>
      <c r="B249" s="54">
        <v>46056</v>
      </c>
      <c r="C249" s="55"/>
      <c r="D249" s="55" t="s">
        <v>167</v>
      </c>
      <c r="E249" s="55"/>
      <c r="F249" s="55"/>
      <c r="G249" s="55"/>
      <c r="H249" s="56"/>
      <c r="I249" s="57">
        <v>5538.05</v>
      </c>
      <c r="J249" s="57"/>
      <c r="K249" s="57">
        <f t="shared" si="3"/>
        <v>5538.05</v>
      </c>
      <c r="L249" s="55"/>
      <c r="M249" s="100" t="s">
        <v>407</v>
      </c>
      <c r="N249" s="100" t="s">
        <v>410</v>
      </c>
    </row>
    <row r="250" spans="1:14" ht="15" customHeight="1" x14ac:dyDescent="0.25">
      <c r="A250" s="53" t="s">
        <v>132</v>
      </c>
      <c r="B250" s="54">
        <v>46056</v>
      </c>
      <c r="C250" s="55"/>
      <c r="D250" s="55" t="s">
        <v>167</v>
      </c>
      <c r="E250" s="55"/>
      <c r="F250" s="55"/>
      <c r="G250" s="55"/>
      <c r="H250" s="56"/>
      <c r="I250" s="57">
        <v>1739.7</v>
      </c>
      <c r="J250" s="57"/>
      <c r="K250" s="57">
        <f t="shared" si="3"/>
        <v>1739.7</v>
      </c>
      <c r="L250" s="55"/>
      <c r="M250" s="100" t="s">
        <v>407</v>
      </c>
      <c r="N250" s="100" t="s">
        <v>410</v>
      </c>
    </row>
    <row r="251" spans="1:14" ht="15" customHeight="1" x14ac:dyDescent="0.25">
      <c r="A251" s="53" t="s">
        <v>132</v>
      </c>
      <c r="B251" s="54">
        <v>46057</v>
      </c>
      <c r="C251" s="55"/>
      <c r="D251" s="55" t="s">
        <v>167</v>
      </c>
      <c r="E251" s="55"/>
      <c r="F251" s="55"/>
      <c r="G251" s="55"/>
      <c r="H251" s="56"/>
      <c r="I251" s="57">
        <v>1454.75</v>
      </c>
      <c r="J251" s="57"/>
      <c r="K251" s="57">
        <f t="shared" si="3"/>
        <v>1454.75</v>
      </c>
      <c r="L251" s="55"/>
      <c r="M251" s="100" t="s">
        <v>407</v>
      </c>
      <c r="N251" s="100" t="s">
        <v>410</v>
      </c>
    </row>
    <row r="252" spans="1:14" ht="15" customHeight="1" x14ac:dyDescent="0.25">
      <c r="A252" s="53" t="s">
        <v>132</v>
      </c>
      <c r="B252" s="54">
        <v>46057</v>
      </c>
      <c r="C252" s="55"/>
      <c r="D252" s="55" t="s">
        <v>167</v>
      </c>
      <c r="E252" s="55"/>
      <c r="F252" s="55"/>
      <c r="G252" s="55"/>
      <c r="H252" s="56"/>
      <c r="I252" s="57">
        <v>1594.41</v>
      </c>
      <c r="J252" s="57"/>
      <c r="K252" s="57">
        <f t="shared" si="3"/>
        <v>1594.41</v>
      </c>
      <c r="L252" s="55"/>
      <c r="M252" s="100" t="s">
        <v>407</v>
      </c>
      <c r="N252" s="100" t="s">
        <v>410</v>
      </c>
    </row>
    <row r="253" spans="1:14" ht="15" customHeight="1" x14ac:dyDescent="0.25">
      <c r="A253" s="53" t="s">
        <v>132</v>
      </c>
      <c r="B253" s="54">
        <v>46058</v>
      </c>
      <c r="C253" s="55"/>
      <c r="D253" s="55" t="s">
        <v>167</v>
      </c>
      <c r="E253" s="55"/>
      <c r="F253" s="55"/>
      <c r="G253" s="55"/>
      <c r="H253" s="56"/>
      <c r="I253" s="57">
        <v>3491.4</v>
      </c>
      <c r="J253" s="57"/>
      <c r="K253" s="57">
        <f t="shared" si="3"/>
        <v>3491.4</v>
      </c>
      <c r="L253" s="55"/>
      <c r="M253" s="100" t="s">
        <v>407</v>
      </c>
      <c r="N253" s="100" t="s">
        <v>410</v>
      </c>
    </row>
    <row r="254" spans="1:14" ht="15" customHeight="1" x14ac:dyDescent="0.25">
      <c r="A254" s="53" t="s">
        <v>132</v>
      </c>
      <c r="B254" s="54">
        <v>46059</v>
      </c>
      <c r="C254" s="55"/>
      <c r="D254" s="55" t="s">
        <v>167</v>
      </c>
      <c r="E254" s="55"/>
      <c r="F254" s="55"/>
      <c r="G254" s="55"/>
      <c r="H254" s="56"/>
      <c r="I254" s="57">
        <v>3060.79</v>
      </c>
      <c r="J254" s="57"/>
      <c r="K254" s="57">
        <f t="shared" si="3"/>
        <v>3060.79</v>
      </c>
      <c r="L254" s="55"/>
      <c r="M254" s="100" t="s">
        <v>407</v>
      </c>
      <c r="N254" s="100" t="s">
        <v>410</v>
      </c>
    </row>
    <row r="255" spans="1:14" ht="15" customHeight="1" x14ac:dyDescent="0.25">
      <c r="A255" s="53" t="s">
        <v>132</v>
      </c>
      <c r="B255" s="54">
        <v>46060</v>
      </c>
      <c r="C255" s="55"/>
      <c r="D255" s="55" t="s">
        <v>167</v>
      </c>
      <c r="E255" s="55"/>
      <c r="F255" s="55"/>
      <c r="G255" s="55"/>
      <c r="H255" s="56"/>
      <c r="I255" s="57">
        <v>2618.5500000000002</v>
      </c>
      <c r="J255" s="57"/>
      <c r="K255" s="57">
        <f t="shared" si="3"/>
        <v>2618.5500000000002</v>
      </c>
      <c r="L255" s="55"/>
      <c r="M255" s="100" t="s">
        <v>407</v>
      </c>
      <c r="N255" s="100" t="s">
        <v>410</v>
      </c>
    </row>
    <row r="256" spans="1:14" ht="15" customHeight="1" x14ac:dyDescent="0.25">
      <c r="A256" s="53" t="s">
        <v>132</v>
      </c>
      <c r="B256" s="54">
        <v>46061</v>
      </c>
      <c r="C256" s="55"/>
      <c r="D256" s="55" t="s">
        <v>167</v>
      </c>
      <c r="E256" s="55"/>
      <c r="F256" s="55"/>
      <c r="G256" s="55"/>
      <c r="H256" s="56"/>
      <c r="I256" s="57">
        <v>2473.08</v>
      </c>
      <c r="J256" s="57"/>
      <c r="K256" s="57">
        <f t="shared" si="3"/>
        <v>2473.08</v>
      </c>
      <c r="L256" s="55"/>
      <c r="M256" s="100" t="s">
        <v>407</v>
      </c>
      <c r="N256" s="100" t="s">
        <v>410</v>
      </c>
    </row>
    <row r="257" spans="1:14" ht="15" customHeight="1" x14ac:dyDescent="0.25">
      <c r="A257" s="53" t="s">
        <v>132</v>
      </c>
      <c r="B257" s="54">
        <v>46062</v>
      </c>
      <c r="C257" s="55"/>
      <c r="D257" s="55" t="s">
        <v>167</v>
      </c>
      <c r="E257" s="55"/>
      <c r="F257" s="55"/>
      <c r="G257" s="55"/>
      <c r="H257" s="56"/>
      <c r="I257" s="57">
        <v>3002.6</v>
      </c>
      <c r="J257" s="57"/>
      <c r="K257" s="57">
        <f t="shared" si="3"/>
        <v>3002.6</v>
      </c>
      <c r="L257" s="55"/>
      <c r="M257" s="100" t="s">
        <v>407</v>
      </c>
      <c r="N257" s="100" t="s">
        <v>410</v>
      </c>
    </row>
    <row r="258" spans="1:14" ht="15" customHeight="1" x14ac:dyDescent="0.25">
      <c r="A258" s="53" t="s">
        <v>132</v>
      </c>
      <c r="B258" s="54">
        <v>46066</v>
      </c>
      <c r="C258" s="55"/>
      <c r="D258" s="55" t="s">
        <v>167</v>
      </c>
      <c r="E258" s="55"/>
      <c r="F258" s="55"/>
      <c r="G258" s="55"/>
      <c r="H258" s="56"/>
      <c r="I258" s="57">
        <v>1862.08</v>
      </c>
      <c r="J258" s="57"/>
      <c r="K258" s="57">
        <f t="shared" si="3"/>
        <v>1862.08</v>
      </c>
      <c r="L258" s="55"/>
      <c r="M258" s="100" t="s">
        <v>407</v>
      </c>
      <c r="N258" s="100" t="s">
        <v>410</v>
      </c>
    </row>
    <row r="259" spans="1:14" ht="15" customHeight="1" x14ac:dyDescent="0.25">
      <c r="A259" s="53" t="s">
        <v>132</v>
      </c>
      <c r="B259" s="54">
        <v>46067</v>
      </c>
      <c r="C259" s="55"/>
      <c r="D259" s="55" t="s">
        <v>167</v>
      </c>
      <c r="E259" s="55"/>
      <c r="F259" s="55"/>
      <c r="G259" s="55"/>
      <c r="H259" s="56"/>
      <c r="I259" s="57">
        <v>3025.88</v>
      </c>
      <c r="J259" s="57"/>
      <c r="K259" s="57">
        <f t="shared" si="3"/>
        <v>3025.88</v>
      </c>
      <c r="L259" s="55"/>
      <c r="M259" s="100" t="s">
        <v>407</v>
      </c>
      <c r="N259" s="100" t="s">
        <v>410</v>
      </c>
    </row>
    <row r="260" spans="1:14" ht="15" customHeight="1" x14ac:dyDescent="0.25">
      <c r="A260" s="53" t="s">
        <v>132</v>
      </c>
      <c r="B260" s="54">
        <v>46068</v>
      </c>
      <c r="C260" s="55"/>
      <c r="D260" s="55" t="s">
        <v>167</v>
      </c>
      <c r="E260" s="55"/>
      <c r="F260" s="55"/>
      <c r="G260" s="55"/>
      <c r="H260" s="56"/>
      <c r="I260" s="57">
        <v>2455.62</v>
      </c>
      <c r="J260" s="57"/>
      <c r="K260" s="57">
        <f t="shared" si="3"/>
        <v>2455.62</v>
      </c>
      <c r="L260" s="55"/>
      <c r="M260" s="100" t="s">
        <v>407</v>
      </c>
      <c r="N260" s="100" t="s">
        <v>410</v>
      </c>
    </row>
    <row r="261" spans="1:14" ht="15" customHeight="1" x14ac:dyDescent="0.25">
      <c r="A261" s="53" t="s">
        <v>132</v>
      </c>
      <c r="B261" s="54">
        <v>46069</v>
      </c>
      <c r="C261" s="55"/>
      <c r="D261" s="55" t="s">
        <v>167</v>
      </c>
      <c r="E261" s="55"/>
      <c r="F261" s="55"/>
      <c r="G261" s="55"/>
      <c r="H261" s="56"/>
      <c r="I261" s="57">
        <v>3142.26</v>
      </c>
      <c r="J261" s="57"/>
      <c r="K261" s="57">
        <f t="shared" ref="K261:K324" si="4">IFERROR(I261-J261,"")</f>
        <v>3142.26</v>
      </c>
      <c r="L261" s="55"/>
      <c r="M261" s="100" t="s">
        <v>407</v>
      </c>
      <c r="N261" s="100" t="s">
        <v>410</v>
      </c>
    </row>
    <row r="262" spans="1:14" ht="15" customHeight="1" x14ac:dyDescent="0.25">
      <c r="A262" s="53" t="s">
        <v>132</v>
      </c>
      <c r="B262" s="54">
        <v>46070</v>
      </c>
      <c r="C262" s="55"/>
      <c r="D262" s="55" t="s">
        <v>167</v>
      </c>
      <c r="E262" s="55"/>
      <c r="F262" s="55"/>
      <c r="G262" s="55"/>
      <c r="H262" s="56"/>
      <c r="I262" s="57">
        <v>2356.6999999999998</v>
      </c>
      <c r="J262" s="57"/>
      <c r="K262" s="57">
        <f t="shared" si="4"/>
        <v>2356.6999999999998</v>
      </c>
      <c r="L262" s="55"/>
      <c r="M262" s="100" t="s">
        <v>407</v>
      </c>
      <c r="N262" s="100" t="s">
        <v>410</v>
      </c>
    </row>
    <row r="263" spans="1:14" ht="15" customHeight="1" x14ac:dyDescent="0.25">
      <c r="A263" s="53" t="s">
        <v>132</v>
      </c>
      <c r="B263" s="54">
        <v>46071</v>
      </c>
      <c r="C263" s="55"/>
      <c r="D263" s="55" t="s">
        <v>167</v>
      </c>
      <c r="E263" s="55"/>
      <c r="F263" s="55"/>
      <c r="G263" s="55"/>
      <c r="H263" s="56"/>
      <c r="I263" s="57">
        <v>2473.08</v>
      </c>
      <c r="J263" s="57"/>
      <c r="K263" s="57">
        <f t="shared" si="4"/>
        <v>2473.08</v>
      </c>
      <c r="L263" s="55"/>
      <c r="M263" s="100" t="s">
        <v>407</v>
      </c>
      <c r="N263" s="100" t="s">
        <v>410</v>
      </c>
    </row>
    <row r="264" spans="1:14" ht="15" customHeight="1" x14ac:dyDescent="0.25">
      <c r="A264" s="53" t="s">
        <v>132</v>
      </c>
      <c r="B264" s="54">
        <v>46072</v>
      </c>
      <c r="C264" s="55"/>
      <c r="D264" s="55" t="s">
        <v>167</v>
      </c>
      <c r="E264" s="55"/>
      <c r="F264" s="55"/>
      <c r="G264" s="55"/>
      <c r="H264" s="56"/>
      <c r="I264" s="57">
        <v>2211.2199999999998</v>
      </c>
      <c r="J264" s="57"/>
      <c r="K264" s="57">
        <f t="shared" si="4"/>
        <v>2211.2199999999998</v>
      </c>
      <c r="L264" s="55"/>
      <c r="M264" s="100" t="s">
        <v>407</v>
      </c>
      <c r="N264" s="100" t="s">
        <v>410</v>
      </c>
    </row>
    <row r="265" spans="1:14" ht="15" customHeight="1" x14ac:dyDescent="0.25">
      <c r="A265" s="53" t="s">
        <v>132</v>
      </c>
      <c r="B265" s="54">
        <v>46073</v>
      </c>
      <c r="C265" s="55"/>
      <c r="D265" s="55" t="s">
        <v>167</v>
      </c>
      <c r="E265" s="55"/>
      <c r="F265" s="55"/>
      <c r="G265" s="55"/>
      <c r="H265" s="56"/>
      <c r="I265" s="57">
        <v>1473.95</v>
      </c>
      <c r="J265" s="57"/>
      <c r="K265" s="57">
        <f t="shared" si="4"/>
        <v>1473.95</v>
      </c>
      <c r="L265" s="55"/>
      <c r="M265" s="100" t="s">
        <v>407</v>
      </c>
      <c r="N265" s="100" t="s">
        <v>410</v>
      </c>
    </row>
    <row r="266" spans="1:14" ht="15" customHeight="1" x14ac:dyDescent="0.25">
      <c r="A266" s="53" t="s">
        <v>132</v>
      </c>
      <c r="B266" s="54">
        <v>46074</v>
      </c>
      <c r="C266" s="55"/>
      <c r="D266" s="55" t="s">
        <v>167</v>
      </c>
      <c r="E266" s="55"/>
      <c r="F266" s="55"/>
      <c r="G266" s="55"/>
      <c r="H266" s="56"/>
      <c r="I266" s="57">
        <v>1596.78</v>
      </c>
      <c r="J266" s="57"/>
      <c r="K266" s="57">
        <f t="shared" si="4"/>
        <v>1596.78</v>
      </c>
      <c r="L266" s="55"/>
      <c r="M266" s="100" t="s">
        <v>407</v>
      </c>
      <c r="N266" s="100" t="s">
        <v>410</v>
      </c>
    </row>
    <row r="267" spans="1:14" ht="15" customHeight="1" x14ac:dyDescent="0.25">
      <c r="A267" s="53" t="s">
        <v>132</v>
      </c>
      <c r="B267" s="54">
        <v>46075</v>
      </c>
      <c r="C267" s="55"/>
      <c r="D267" s="55" t="s">
        <v>167</v>
      </c>
      <c r="E267" s="55"/>
      <c r="F267" s="55"/>
      <c r="G267" s="55"/>
      <c r="H267" s="56"/>
      <c r="I267" s="57">
        <v>2526.77</v>
      </c>
      <c r="J267" s="57"/>
      <c r="K267" s="57">
        <f t="shared" si="4"/>
        <v>2526.77</v>
      </c>
      <c r="L267" s="55"/>
      <c r="M267" s="100" t="s">
        <v>407</v>
      </c>
      <c r="N267" s="100" t="s">
        <v>410</v>
      </c>
    </row>
    <row r="268" spans="1:14" ht="15" customHeight="1" x14ac:dyDescent="0.25">
      <c r="A268" s="53" t="s">
        <v>132</v>
      </c>
      <c r="B268" s="54">
        <v>46076</v>
      </c>
      <c r="C268" s="55"/>
      <c r="D268" s="55" t="s">
        <v>167</v>
      </c>
      <c r="E268" s="55"/>
      <c r="F268" s="55"/>
      <c r="G268" s="55"/>
      <c r="H268" s="56"/>
      <c r="I268" s="57">
        <v>2363</v>
      </c>
      <c r="J268" s="57"/>
      <c r="K268" s="57">
        <f t="shared" si="4"/>
        <v>2363</v>
      </c>
      <c r="L268" s="55"/>
      <c r="M268" s="100" t="s">
        <v>407</v>
      </c>
      <c r="N268" s="100" t="s">
        <v>410</v>
      </c>
    </row>
    <row r="269" spans="1:14" ht="15" customHeight="1" x14ac:dyDescent="0.25">
      <c r="A269" s="53" t="s">
        <v>132</v>
      </c>
      <c r="B269" s="54">
        <v>46077</v>
      </c>
      <c r="C269" s="55"/>
      <c r="D269" s="55" t="s">
        <v>167</v>
      </c>
      <c r="E269" s="55"/>
      <c r="F269" s="55"/>
      <c r="G269" s="55"/>
      <c r="H269" s="56"/>
      <c r="I269" s="57">
        <v>2754.88</v>
      </c>
      <c r="J269" s="57"/>
      <c r="K269" s="57">
        <f t="shared" si="4"/>
        <v>2754.88</v>
      </c>
      <c r="L269" s="55"/>
      <c r="M269" s="100" t="s">
        <v>407</v>
      </c>
      <c r="N269" s="100" t="s">
        <v>410</v>
      </c>
    </row>
    <row r="270" spans="1:14" ht="15" customHeight="1" x14ac:dyDescent="0.25">
      <c r="A270" s="53" t="s">
        <v>132</v>
      </c>
      <c r="B270" s="54">
        <v>46078</v>
      </c>
      <c r="C270" s="55"/>
      <c r="D270" s="55" t="s">
        <v>167</v>
      </c>
      <c r="E270" s="55"/>
      <c r="F270" s="55"/>
      <c r="G270" s="55"/>
      <c r="H270" s="56"/>
      <c r="I270" s="57">
        <v>2994.69</v>
      </c>
      <c r="J270" s="57"/>
      <c r="K270" s="57">
        <f t="shared" si="4"/>
        <v>2994.69</v>
      </c>
      <c r="L270" s="55"/>
      <c r="M270" s="100" t="s">
        <v>407</v>
      </c>
      <c r="N270" s="100" t="s">
        <v>410</v>
      </c>
    </row>
    <row r="271" spans="1:14" ht="15" customHeight="1" x14ac:dyDescent="0.25">
      <c r="A271" s="53" t="s">
        <v>132</v>
      </c>
      <c r="B271" s="54">
        <v>46079</v>
      </c>
      <c r="C271" s="55"/>
      <c r="D271" s="55" t="s">
        <v>167</v>
      </c>
      <c r="E271" s="55"/>
      <c r="F271" s="55"/>
      <c r="G271" s="55"/>
      <c r="H271" s="56"/>
      <c r="I271" s="57">
        <v>5486.36</v>
      </c>
      <c r="J271" s="57"/>
      <c r="K271" s="57">
        <f t="shared" si="4"/>
        <v>5486.36</v>
      </c>
      <c r="L271" s="55"/>
      <c r="M271" s="100" t="s">
        <v>407</v>
      </c>
      <c r="N271" s="100" t="s">
        <v>410</v>
      </c>
    </row>
    <row r="272" spans="1:14" ht="15" customHeight="1" x14ac:dyDescent="0.25">
      <c r="A272" s="53" t="s">
        <v>132</v>
      </c>
      <c r="B272" s="54">
        <v>46080</v>
      </c>
      <c r="C272" s="55"/>
      <c r="D272" s="55" t="s">
        <v>167</v>
      </c>
      <c r="E272" s="55"/>
      <c r="F272" s="55"/>
      <c r="G272" s="55"/>
      <c r="H272" s="56"/>
      <c r="I272" s="57">
        <v>2866.01</v>
      </c>
      <c r="J272" s="57"/>
      <c r="K272" s="57">
        <f t="shared" si="4"/>
        <v>2866.01</v>
      </c>
      <c r="L272" s="55"/>
      <c r="M272" s="100" t="s">
        <v>407</v>
      </c>
      <c r="N272" s="100" t="s">
        <v>410</v>
      </c>
    </row>
    <row r="273" spans="1:14" ht="15" customHeight="1" x14ac:dyDescent="0.25">
      <c r="A273" s="53" t="s">
        <v>132</v>
      </c>
      <c r="B273" s="54">
        <v>46081</v>
      </c>
      <c r="C273" s="55"/>
      <c r="D273" s="55" t="s">
        <v>167</v>
      </c>
      <c r="E273" s="55"/>
      <c r="F273" s="55"/>
      <c r="G273" s="55"/>
      <c r="H273" s="56"/>
      <c r="I273" s="57">
        <v>1111.31</v>
      </c>
      <c r="J273" s="57"/>
      <c r="K273" s="57">
        <f t="shared" si="4"/>
        <v>1111.31</v>
      </c>
      <c r="L273" s="55"/>
      <c r="M273" s="100" t="s">
        <v>407</v>
      </c>
      <c r="N273" s="100" t="s">
        <v>410</v>
      </c>
    </row>
    <row r="274" spans="1:14" ht="15" customHeight="1" x14ac:dyDescent="0.25">
      <c r="A274" s="53" t="s">
        <v>132</v>
      </c>
      <c r="B274" s="54">
        <v>46082</v>
      </c>
      <c r="C274" s="55"/>
      <c r="D274" s="55" t="s">
        <v>167</v>
      </c>
      <c r="E274" s="55"/>
      <c r="F274" s="55"/>
      <c r="G274" s="55"/>
      <c r="H274" s="56"/>
      <c r="I274" s="57">
        <v>2836.77</v>
      </c>
      <c r="J274" s="57"/>
      <c r="K274" s="57">
        <f t="shared" si="4"/>
        <v>2836.77</v>
      </c>
      <c r="L274" s="55"/>
      <c r="M274" s="100" t="s">
        <v>407</v>
      </c>
      <c r="N274" s="100" t="s">
        <v>410</v>
      </c>
    </row>
    <row r="275" spans="1:14" ht="15" customHeight="1" x14ac:dyDescent="0.25">
      <c r="A275" s="53" t="s">
        <v>132</v>
      </c>
      <c r="B275" s="54">
        <v>46083</v>
      </c>
      <c r="C275" s="55"/>
      <c r="D275" s="55" t="s">
        <v>167</v>
      </c>
      <c r="E275" s="55"/>
      <c r="F275" s="55"/>
      <c r="G275" s="55"/>
      <c r="H275" s="56"/>
      <c r="I275" s="57">
        <v>2749.03</v>
      </c>
      <c r="J275" s="57"/>
      <c r="K275" s="57">
        <f t="shared" si="4"/>
        <v>2749.03</v>
      </c>
      <c r="L275" s="55"/>
      <c r="M275" s="100" t="s">
        <v>407</v>
      </c>
      <c r="N275" s="100" t="s">
        <v>410</v>
      </c>
    </row>
    <row r="276" spans="1:14" ht="15" customHeight="1" x14ac:dyDescent="0.25">
      <c r="A276" s="53" t="s">
        <v>132</v>
      </c>
      <c r="B276" s="54">
        <v>46083</v>
      </c>
      <c r="C276" s="55"/>
      <c r="D276" s="55" t="s">
        <v>167</v>
      </c>
      <c r="E276" s="55"/>
      <c r="F276" s="55"/>
      <c r="G276" s="55"/>
      <c r="H276" s="56"/>
      <c r="I276" s="57">
        <v>1865.83</v>
      </c>
      <c r="J276" s="57"/>
      <c r="K276" s="57">
        <f t="shared" si="4"/>
        <v>1865.83</v>
      </c>
      <c r="L276" s="55"/>
      <c r="M276" s="100" t="s">
        <v>407</v>
      </c>
      <c r="N276" s="100" t="s">
        <v>410</v>
      </c>
    </row>
    <row r="277" spans="1:14" ht="15" customHeight="1" x14ac:dyDescent="0.25">
      <c r="A277" s="53" t="s">
        <v>132</v>
      </c>
      <c r="B277" s="54">
        <v>46084</v>
      </c>
      <c r="C277" s="55"/>
      <c r="D277" s="55" t="s">
        <v>167</v>
      </c>
      <c r="E277" s="55"/>
      <c r="F277" s="55"/>
      <c r="G277" s="55"/>
      <c r="H277" s="56"/>
      <c r="I277" s="57">
        <v>1850.9</v>
      </c>
      <c r="J277" s="57"/>
      <c r="K277" s="57">
        <f t="shared" si="4"/>
        <v>1850.9</v>
      </c>
      <c r="L277" s="55"/>
      <c r="M277" s="100" t="s">
        <v>407</v>
      </c>
      <c r="N277" s="100" t="s">
        <v>410</v>
      </c>
    </row>
    <row r="278" spans="1:14" ht="15" customHeight="1" x14ac:dyDescent="0.25">
      <c r="A278" s="53" t="s">
        <v>132</v>
      </c>
      <c r="B278" s="54">
        <v>46084</v>
      </c>
      <c r="C278" s="55"/>
      <c r="D278" s="55" t="s">
        <v>167</v>
      </c>
      <c r="E278" s="55"/>
      <c r="F278" s="55"/>
      <c r="G278" s="55"/>
      <c r="H278" s="56"/>
      <c r="I278" s="57">
        <v>1929.28</v>
      </c>
      <c r="J278" s="57"/>
      <c r="K278" s="57">
        <f t="shared" si="4"/>
        <v>1929.28</v>
      </c>
      <c r="L278" s="55"/>
      <c r="M278" s="100" t="s">
        <v>407</v>
      </c>
      <c r="N278" s="100" t="s">
        <v>410</v>
      </c>
    </row>
    <row r="279" spans="1:14" ht="15" customHeight="1" x14ac:dyDescent="0.25">
      <c r="A279" s="53" t="s">
        <v>132</v>
      </c>
      <c r="B279" s="54">
        <v>46085</v>
      </c>
      <c r="C279" s="55"/>
      <c r="D279" s="55" t="s">
        <v>167</v>
      </c>
      <c r="E279" s="55"/>
      <c r="F279" s="55"/>
      <c r="G279" s="55"/>
      <c r="H279" s="56"/>
      <c r="I279" s="57">
        <v>1360.86</v>
      </c>
      <c r="J279" s="57"/>
      <c r="K279" s="57">
        <f t="shared" si="4"/>
        <v>1360.86</v>
      </c>
      <c r="L279" s="55"/>
      <c r="M279" s="100" t="s">
        <v>407</v>
      </c>
      <c r="N279" s="100" t="s">
        <v>410</v>
      </c>
    </row>
    <row r="280" spans="1:14" ht="15" customHeight="1" x14ac:dyDescent="0.25">
      <c r="A280" s="53" t="s">
        <v>132</v>
      </c>
      <c r="B280" s="54">
        <v>46085</v>
      </c>
      <c r="C280" s="55"/>
      <c r="D280" s="55" t="s">
        <v>167</v>
      </c>
      <c r="E280" s="55"/>
      <c r="F280" s="55"/>
      <c r="G280" s="55"/>
      <c r="H280" s="56"/>
      <c r="I280" s="57">
        <v>2044.48</v>
      </c>
      <c r="J280" s="57"/>
      <c r="K280" s="57">
        <f t="shared" si="4"/>
        <v>2044.48</v>
      </c>
      <c r="L280" s="55"/>
      <c r="M280" s="100" t="s">
        <v>407</v>
      </c>
      <c r="N280" s="100" t="s">
        <v>410</v>
      </c>
    </row>
    <row r="281" spans="1:14" ht="15" customHeight="1" x14ac:dyDescent="0.25">
      <c r="A281" s="53" t="s">
        <v>132</v>
      </c>
      <c r="B281" s="54">
        <v>46086</v>
      </c>
      <c r="C281" s="55"/>
      <c r="D281" s="55" t="s">
        <v>167</v>
      </c>
      <c r="E281" s="55"/>
      <c r="F281" s="55"/>
      <c r="G281" s="55"/>
      <c r="H281" s="56"/>
      <c r="I281" s="57">
        <v>1455.3</v>
      </c>
      <c r="J281" s="57"/>
      <c r="K281" s="57">
        <f t="shared" si="4"/>
        <v>1455.3</v>
      </c>
      <c r="L281" s="55"/>
      <c r="M281" s="100" t="s">
        <v>407</v>
      </c>
      <c r="N281" s="100" t="s">
        <v>410</v>
      </c>
    </row>
    <row r="282" spans="1:14" ht="15" customHeight="1" x14ac:dyDescent="0.25">
      <c r="A282" s="53" t="s">
        <v>132</v>
      </c>
      <c r="B282" s="54">
        <v>46086</v>
      </c>
      <c r="C282" s="55"/>
      <c r="D282" s="55" t="s">
        <v>167</v>
      </c>
      <c r="E282" s="55"/>
      <c r="F282" s="55"/>
      <c r="G282" s="55"/>
      <c r="H282" s="56"/>
      <c r="I282" s="57">
        <v>2142</v>
      </c>
      <c r="J282" s="57"/>
      <c r="K282" s="57">
        <f t="shared" si="4"/>
        <v>2142</v>
      </c>
      <c r="L282" s="55"/>
      <c r="M282" s="100" t="s">
        <v>407</v>
      </c>
      <c r="N282" s="100" t="s">
        <v>410</v>
      </c>
    </row>
    <row r="283" spans="1:14" ht="15" customHeight="1" x14ac:dyDescent="0.25">
      <c r="A283" s="53" t="s">
        <v>132</v>
      </c>
      <c r="B283" s="54">
        <v>46087</v>
      </c>
      <c r="C283" s="55"/>
      <c r="D283" s="55" t="s">
        <v>167</v>
      </c>
      <c r="E283" s="55"/>
      <c r="F283" s="55"/>
      <c r="G283" s="55"/>
      <c r="H283" s="56"/>
      <c r="I283" s="57">
        <v>2929.5</v>
      </c>
      <c r="J283" s="57"/>
      <c r="K283" s="57">
        <f t="shared" si="4"/>
        <v>2929.5</v>
      </c>
      <c r="L283" s="55"/>
      <c r="M283" s="100" t="s">
        <v>407</v>
      </c>
      <c r="N283" s="100" t="s">
        <v>410</v>
      </c>
    </row>
    <row r="284" spans="1:14" ht="15" customHeight="1" x14ac:dyDescent="0.25">
      <c r="A284" s="53" t="s">
        <v>132</v>
      </c>
      <c r="B284" s="54">
        <v>46088</v>
      </c>
      <c r="C284" s="55"/>
      <c r="D284" s="55" t="s">
        <v>167</v>
      </c>
      <c r="E284" s="55"/>
      <c r="F284" s="55"/>
      <c r="G284" s="55"/>
      <c r="H284" s="56"/>
      <c r="I284" s="57">
        <v>2034</v>
      </c>
      <c r="J284" s="57"/>
      <c r="K284" s="57">
        <f t="shared" si="4"/>
        <v>2034</v>
      </c>
      <c r="L284" s="55"/>
      <c r="M284" s="100" t="s">
        <v>407</v>
      </c>
      <c r="N284" s="100" t="s">
        <v>410</v>
      </c>
    </row>
    <row r="285" spans="1:14" ht="15" customHeight="1" x14ac:dyDescent="0.25">
      <c r="A285" s="53" t="s">
        <v>132</v>
      </c>
      <c r="B285" s="54">
        <v>46089</v>
      </c>
      <c r="C285" s="55"/>
      <c r="D285" s="55" t="s">
        <v>167</v>
      </c>
      <c r="E285" s="55"/>
      <c r="F285" s="55"/>
      <c r="G285" s="55"/>
      <c r="H285" s="56"/>
      <c r="I285" s="57">
        <v>2983.2</v>
      </c>
      <c r="J285" s="57"/>
      <c r="K285" s="57">
        <f t="shared" si="4"/>
        <v>2983.2</v>
      </c>
      <c r="L285" s="55"/>
      <c r="M285" s="100" t="s">
        <v>407</v>
      </c>
      <c r="N285" s="100" t="s">
        <v>410</v>
      </c>
    </row>
    <row r="286" spans="1:14" ht="15" customHeight="1" x14ac:dyDescent="0.25">
      <c r="A286" s="53" t="s">
        <v>132</v>
      </c>
      <c r="B286" s="54">
        <v>46090</v>
      </c>
      <c r="C286" s="55"/>
      <c r="D286" s="55" t="s">
        <v>167</v>
      </c>
      <c r="E286" s="55"/>
      <c r="F286" s="55"/>
      <c r="G286" s="55"/>
      <c r="H286" s="56"/>
      <c r="I286" s="57">
        <v>3322.2</v>
      </c>
      <c r="J286" s="57"/>
      <c r="K286" s="57">
        <f t="shared" si="4"/>
        <v>3322.2</v>
      </c>
      <c r="L286" s="55"/>
      <c r="M286" s="100" t="s">
        <v>407</v>
      </c>
      <c r="N286" s="100" t="s">
        <v>410</v>
      </c>
    </row>
    <row r="287" spans="1:14" ht="15" customHeight="1" x14ac:dyDescent="0.25">
      <c r="A287" s="53" t="s">
        <v>132</v>
      </c>
      <c r="B287" s="54">
        <v>46091</v>
      </c>
      <c r="C287" s="55"/>
      <c r="D287" s="55" t="s">
        <v>167</v>
      </c>
      <c r="E287" s="55"/>
      <c r="F287" s="55"/>
      <c r="G287" s="55"/>
      <c r="H287" s="56"/>
      <c r="I287" s="57">
        <v>3675</v>
      </c>
      <c r="J287" s="57"/>
      <c r="K287" s="57">
        <f t="shared" si="4"/>
        <v>3675</v>
      </c>
      <c r="L287" s="55"/>
      <c r="M287" s="100" t="s">
        <v>407</v>
      </c>
      <c r="N287" s="100" t="s">
        <v>410</v>
      </c>
    </row>
    <row r="288" spans="1:14" ht="15" customHeight="1" x14ac:dyDescent="0.25">
      <c r="A288" s="53" t="s">
        <v>132</v>
      </c>
      <c r="B288" s="54">
        <v>46025</v>
      </c>
      <c r="C288" s="55"/>
      <c r="D288" s="55" t="s">
        <v>134</v>
      </c>
      <c r="E288" s="55"/>
      <c r="F288" s="55"/>
      <c r="G288" s="55"/>
      <c r="H288" s="56"/>
      <c r="I288" s="57">
        <v>173.07</v>
      </c>
      <c r="J288" s="57"/>
      <c r="K288" s="57">
        <f t="shared" si="4"/>
        <v>173.07</v>
      </c>
      <c r="L288" s="55"/>
      <c r="M288" s="100" t="s">
        <v>407</v>
      </c>
      <c r="N288" s="100" t="s">
        <v>410</v>
      </c>
    </row>
    <row r="289" spans="1:14" ht="15" customHeight="1" x14ac:dyDescent="0.25">
      <c r="A289" s="53" t="s">
        <v>132</v>
      </c>
      <c r="B289" s="54">
        <v>46026</v>
      </c>
      <c r="C289" s="55"/>
      <c r="D289" s="55" t="s">
        <v>135</v>
      </c>
      <c r="E289" s="55"/>
      <c r="F289" s="55"/>
      <c r="G289" s="55"/>
      <c r="H289" s="56"/>
      <c r="I289" s="57">
        <v>146.11000000000001</v>
      </c>
      <c r="J289" s="57"/>
      <c r="K289" s="57">
        <f t="shared" si="4"/>
        <v>146.11000000000001</v>
      </c>
      <c r="L289" s="55"/>
      <c r="M289" s="100" t="s">
        <v>407</v>
      </c>
      <c r="N289" s="100" t="s">
        <v>410</v>
      </c>
    </row>
    <row r="290" spans="1:14" ht="15" customHeight="1" x14ac:dyDescent="0.25">
      <c r="A290" s="58" t="s">
        <v>136</v>
      </c>
      <c r="B290" s="59">
        <v>46027</v>
      </c>
      <c r="C290" s="59">
        <v>46027</v>
      </c>
      <c r="D290" s="60" t="s">
        <v>138</v>
      </c>
      <c r="E290" s="60" t="s">
        <v>16</v>
      </c>
      <c r="F290" s="60"/>
      <c r="G290" s="60" t="s">
        <v>6</v>
      </c>
      <c r="H290" s="61">
        <v>26.24</v>
      </c>
      <c r="I290" s="62">
        <v>78.459999999999994</v>
      </c>
      <c r="J290" s="62">
        <v>78.459999999999994</v>
      </c>
      <c r="K290" s="62">
        <f t="shared" si="4"/>
        <v>0</v>
      </c>
      <c r="L290" s="60"/>
      <c r="M290" s="100" t="s">
        <v>407</v>
      </c>
      <c r="N290" s="100" t="s">
        <v>410</v>
      </c>
    </row>
    <row r="291" spans="1:14" ht="15" customHeight="1" x14ac:dyDescent="0.25">
      <c r="A291" s="58" t="s">
        <v>136</v>
      </c>
      <c r="B291" s="59">
        <v>46028</v>
      </c>
      <c r="C291" s="59">
        <v>46028</v>
      </c>
      <c r="D291" s="60" t="s">
        <v>138</v>
      </c>
      <c r="E291" s="60" t="s">
        <v>16</v>
      </c>
      <c r="F291" s="60"/>
      <c r="G291" s="60" t="s">
        <v>6</v>
      </c>
      <c r="H291" s="61">
        <v>34.229999999999997</v>
      </c>
      <c r="I291" s="62">
        <v>102.35</v>
      </c>
      <c r="J291" s="62">
        <v>102.35</v>
      </c>
      <c r="K291" s="62">
        <f t="shared" si="4"/>
        <v>0</v>
      </c>
      <c r="L291" s="60"/>
      <c r="M291" s="100" t="s">
        <v>407</v>
      </c>
      <c r="N291" s="100" t="s">
        <v>410</v>
      </c>
    </row>
    <row r="292" spans="1:14" ht="15" customHeight="1" x14ac:dyDescent="0.25">
      <c r="A292" s="53" t="s">
        <v>132</v>
      </c>
      <c r="B292" s="54">
        <v>46030</v>
      </c>
      <c r="C292" s="55"/>
      <c r="D292" s="55" t="s">
        <v>141</v>
      </c>
      <c r="E292" s="55"/>
      <c r="F292" s="55"/>
      <c r="G292" s="55"/>
      <c r="H292" s="56"/>
      <c r="I292" s="57">
        <v>243.61</v>
      </c>
      <c r="J292" s="57"/>
      <c r="K292" s="57">
        <f t="shared" si="4"/>
        <v>243.61</v>
      </c>
      <c r="L292" s="55"/>
      <c r="M292" s="100" t="s">
        <v>407</v>
      </c>
      <c r="N292" s="100" t="s">
        <v>410</v>
      </c>
    </row>
    <row r="293" spans="1:14" ht="15" customHeight="1" x14ac:dyDescent="0.25">
      <c r="A293" s="53" t="s">
        <v>132</v>
      </c>
      <c r="B293" s="54">
        <v>46034</v>
      </c>
      <c r="C293" s="55"/>
      <c r="D293" s="55" t="s">
        <v>144</v>
      </c>
      <c r="E293" s="55"/>
      <c r="F293" s="55"/>
      <c r="G293" s="55"/>
      <c r="H293" s="56"/>
      <c r="I293" s="57">
        <v>174.65</v>
      </c>
      <c r="J293" s="57"/>
      <c r="K293" s="57">
        <f t="shared" si="4"/>
        <v>174.65</v>
      </c>
      <c r="L293" s="55"/>
      <c r="M293" s="100" t="s">
        <v>407</v>
      </c>
      <c r="N293" s="100" t="s">
        <v>410</v>
      </c>
    </row>
    <row r="294" spans="1:14" ht="15" customHeight="1" x14ac:dyDescent="0.25">
      <c r="A294" s="53" t="s">
        <v>132</v>
      </c>
      <c r="B294" s="54">
        <v>46036</v>
      </c>
      <c r="C294" s="55"/>
      <c r="D294" s="55" t="s">
        <v>139</v>
      </c>
      <c r="E294" s="55"/>
      <c r="F294" s="55"/>
      <c r="G294" s="55"/>
      <c r="H294" s="56"/>
      <c r="I294" s="57">
        <v>44.18</v>
      </c>
      <c r="J294" s="57"/>
      <c r="K294" s="57">
        <f t="shared" si="4"/>
        <v>44.18</v>
      </c>
      <c r="L294" s="55"/>
      <c r="M294" s="100" t="s">
        <v>407</v>
      </c>
      <c r="N294" s="100" t="s">
        <v>410</v>
      </c>
    </row>
    <row r="295" spans="1:14" ht="15" customHeight="1" x14ac:dyDescent="0.25">
      <c r="A295" s="53" t="s">
        <v>132</v>
      </c>
      <c r="B295" s="54">
        <v>46037</v>
      </c>
      <c r="C295" s="55"/>
      <c r="D295" s="55" t="s">
        <v>145</v>
      </c>
      <c r="E295" s="55"/>
      <c r="F295" s="55"/>
      <c r="G295" s="55"/>
      <c r="H295" s="56"/>
      <c r="I295" s="57">
        <v>44.05</v>
      </c>
      <c r="J295" s="57"/>
      <c r="K295" s="57">
        <f t="shared" si="4"/>
        <v>44.05</v>
      </c>
      <c r="L295" s="55"/>
      <c r="M295" s="100" t="s">
        <v>407</v>
      </c>
      <c r="N295" s="100" t="s">
        <v>410</v>
      </c>
    </row>
    <row r="296" spans="1:14" ht="15" customHeight="1" x14ac:dyDescent="0.25">
      <c r="A296" s="53" t="s">
        <v>132</v>
      </c>
      <c r="B296" s="54">
        <v>46037</v>
      </c>
      <c r="C296" s="55"/>
      <c r="D296" s="55" t="s">
        <v>146</v>
      </c>
      <c r="E296" s="55"/>
      <c r="F296" s="55"/>
      <c r="G296" s="55"/>
      <c r="H296" s="56"/>
      <c r="I296" s="57">
        <v>143.85</v>
      </c>
      <c r="J296" s="57"/>
      <c r="K296" s="57">
        <f t="shared" si="4"/>
        <v>143.85</v>
      </c>
      <c r="L296" s="55"/>
      <c r="M296" s="100" t="s">
        <v>407</v>
      </c>
      <c r="N296" s="100" t="s">
        <v>410</v>
      </c>
    </row>
    <row r="297" spans="1:14" ht="15" customHeight="1" x14ac:dyDescent="0.25">
      <c r="A297" s="53" t="s">
        <v>132</v>
      </c>
      <c r="B297" s="54">
        <v>46038</v>
      </c>
      <c r="C297" s="55"/>
      <c r="D297" s="55" t="s">
        <v>134</v>
      </c>
      <c r="E297" s="55"/>
      <c r="F297" s="55"/>
      <c r="G297" s="55"/>
      <c r="H297" s="56"/>
      <c r="I297" s="57">
        <v>147.91</v>
      </c>
      <c r="J297" s="57"/>
      <c r="K297" s="57">
        <f t="shared" si="4"/>
        <v>147.91</v>
      </c>
      <c r="L297" s="55"/>
      <c r="M297" s="100" t="s">
        <v>407</v>
      </c>
      <c r="N297" s="100" t="s">
        <v>410</v>
      </c>
    </row>
    <row r="298" spans="1:14" ht="15" customHeight="1" x14ac:dyDescent="0.25">
      <c r="A298" s="53" t="s">
        <v>132</v>
      </c>
      <c r="B298" s="54">
        <v>46039</v>
      </c>
      <c r="C298" s="55"/>
      <c r="D298" s="55" t="s">
        <v>134</v>
      </c>
      <c r="E298" s="55"/>
      <c r="F298" s="55"/>
      <c r="G298" s="55"/>
      <c r="H298" s="56"/>
      <c r="I298" s="57">
        <v>104.86</v>
      </c>
      <c r="J298" s="57"/>
      <c r="K298" s="57">
        <f t="shared" si="4"/>
        <v>104.86</v>
      </c>
      <c r="L298" s="55"/>
      <c r="M298" s="100" t="s">
        <v>407</v>
      </c>
      <c r="N298" s="100" t="s">
        <v>410</v>
      </c>
    </row>
    <row r="299" spans="1:14" ht="15" customHeight="1" x14ac:dyDescent="0.25">
      <c r="A299" s="53" t="s">
        <v>132</v>
      </c>
      <c r="B299" s="54">
        <v>46039</v>
      </c>
      <c r="C299" s="55"/>
      <c r="D299" s="55" t="s">
        <v>147</v>
      </c>
      <c r="E299" s="55"/>
      <c r="F299" s="55"/>
      <c r="G299" s="55"/>
      <c r="H299" s="56"/>
      <c r="I299" s="57">
        <v>93.32</v>
      </c>
      <c r="J299" s="57"/>
      <c r="K299" s="57">
        <f t="shared" si="4"/>
        <v>93.32</v>
      </c>
      <c r="L299" s="55"/>
      <c r="M299" s="100" t="s">
        <v>407</v>
      </c>
      <c r="N299" s="100" t="s">
        <v>410</v>
      </c>
    </row>
    <row r="300" spans="1:14" ht="15" customHeight="1" x14ac:dyDescent="0.25">
      <c r="A300" s="63" t="s">
        <v>142</v>
      </c>
      <c r="B300" s="64">
        <v>46041</v>
      </c>
      <c r="C300" s="64">
        <v>46041</v>
      </c>
      <c r="D300" s="65" t="s">
        <v>138</v>
      </c>
      <c r="E300" s="65" t="s">
        <v>16</v>
      </c>
      <c r="F300" s="65"/>
      <c r="G300" s="65" t="s">
        <v>6</v>
      </c>
      <c r="H300" s="66">
        <v>39.28</v>
      </c>
      <c r="I300" s="67">
        <v>117.47</v>
      </c>
      <c r="J300" s="67">
        <v>117.49</v>
      </c>
      <c r="K300" s="67">
        <f t="shared" si="4"/>
        <v>-1.9999999999996021E-2</v>
      </c>
      <c r="L300" s="65"/>
      <c r="M300" s="100" t="s">
        <v>407</v>
      </c>
      <c r="N300" s="100" t="s">
        <v>410</v>
      </c>
    </row>
    <row r="301" spans="1:14" ht="15" customHeight="1" x14ac:dyDescent="0.25">
      <c r="A301" s="58" t="s">
        <v>136</v>
      </c>
      <c r="B301" s="59">
        <v>46041</v>
      </c>
      <c r="C301" s="59">
        <v>46036</v>
      </c>
      <c r="D301" s="60" t="s">
        <v>137</v>
      </c>
      <c r="E301" s="60" t="s">
        <v>15</v>
      </c>
      <c r="F301" s="60"/>
      <c r="G301" s="60" t="s">
        <v>6</v>
      </c>
      <c r="H301" s="61">
        <v>15.67</v>
      </c>
      <c r="I301" s="62">
        <v>49.22</v>
      </c>
      <c r="J301" s="62">
        <v>49.22</v>
      </c>
      <c r="K301" s="62">
        <f t="shared" si="4"/>
        <v>0</v>
      </c>
      <c r="L301" s="60"/>
      <c r="M301" s="100" t="s">
        <v>407</v>
      </c>
      <c r="N301" s="100" t="s">
        <v>410</v>
      </c>
    </row>
    <row r="302" spans="1:14" ht="15" customHeight="1" x14ac:dyDescent="0.25">
      <c r="A302" s="53" t="s">
        <v>132</v>
      </c>
      <c r="B302" s="54">
        <v>46042</v>
      </c>
      <c r="C302" s="55"/>
      <c r="D302" s="55" t="s">
        <v>134</v>
      </c>
      <c r="E302" s="55"/>
      <c r="F302" s="55"/>
      <c r="G302" s="55"/>
      <c r="H302" s="56"/>
      <c r="I302" s="57">
        <v>61.1</v>
      </c>
      <c r="J302" s="57"/>
      <c r="K302" s="57">
        <f t="shared" si="4"/>
        <v>61.1</v>
      </c>
      <c r="L302" s="55"/>
      <c r="M302" s="100" t="s">
        <v>407</v>
      </c>
      <c r="N302" s="100" t="s">
        <v>410</v>
      </c>
    </row>
    <row r="303" spans="1:14" ht="15" customHeight="1" x14ac:dyDescent="0.25">
      <c r="A303" s="58" t="s">
        <v>136</v>
      </c>
      <c r="B303" s="59">
        <v>46042</v>
      </c>
      <c r="C303" s="59">
        <v>46042</v>
      </c>
      <c r="D303" s="60" t="s">
        <v>138</v>
      </c>
      <c r="E303" s="60" t="s">
        <v>16</v>
      </c>
      <c r="F303" s="60"/>
      <c r="G303" s="60" t="s">
        <v>6</v>
      </c>
      <c r="H303" s="61">
        <v>29.92</v>
      </c>
      <c r="I303" s="62">
        <v>89.46</v>
      </c>
      <c r="J303" s="62">
        <v>89.46</v>
      </c>
      <c r="K303" s="62">
        <f t="shared" si="4"/>
        <v>0</v>
      </c>
      <c r="L303" s="60"/>
      <c r="M303" s="100" t="s">
        <v>407</v>
      </c>
      <c r="N303" s="100" t="s">
        <v>410</v>
      </c>
    </row>
    <row r="304" spans="1:14" ht="15" customHeight="1" x14ac:dyDescent="0.25">
      <c r="A304" s="53" t="s">
        <v>132</v>
      </c>
      <c r="B304" s="54">
        <v>46043</v>
      </c>
      <c r="C304" s="55"/>
      <c r="D304" s="55" t="s">
        <v>135</v>
      </c>
      <c r="E304" s="55"/>
      <c r="F304" s="55"/>
      <c r="G304" s="55"/>
      <c r="H304" s="56"/>
      <c r="I304" s="57">
        <v>104.22</v>
      </c>
      <c r="J304" s="57"/>
      <c r="K304" s="57">
        <f t="shared" si="4"/>
        <v>104.22</v>
      </c>
      <c r="L304" s="55"/>
      <c r="M304" s="100" t="s">
        <v>407</v>
      </c>
      <c r="N304" s="100" t="s">
        <v>410</v>
      </c>
    </row>
    <row r="305" spans="1:14" ht="15" customHeight="1" x14ac:dyDescent="0.25">
      <c r="A305" s="53" t="s">
        <v>132</v>
      </c>
      <c r="B305" s="54">
        <v>46043</v>
      </c>
      <c r="C305" s="55"/>
      <c r="D305" s="55" t="s">
        <v>149</v>
      </c>
      <c r="E305" s="55"/>
      <c r="F305" s="55"/>
      <c r="G305" s="55"/>
      <c r="H305" s="56"/>
      <c r="I305" s="57">
        <v>93.9</v>
      </c>
      <c r="J305" s="57"/>
      <c r="K305" s="57">
        <f t="shared" si="4"/>
        <v>93.9</v>
      </c>
      <c r="L305" s="55"/>
      <c r="M305" s="100" t="s">
        <v>407</v>
      </c>
      <c r="N305" s="100" t="s">
        <v>410</v>
      </c>
    </row>
    <row r="306" spans="1:14" ht="15" customHeight="1" x14ac:dyDescent="0.25">
      <c r="A306" s="53" t="s">
        <v>132</v>
      </c>
      <c r="B306" s="54">
        <v>46044</v>
      </c>
      <c r="C306" s="55"/>
      <c r="D306" s="55" t="s">
        <v>141</v>
      </c>
      <c r="E306" s="55"/>
      <c r="F306" s="55"/>
      <c r="G306" s="55"/>
      <c r="H306" s="56"/>
      <c r="I306" s="57">
        <v>174.65</v>
      </c>
      <c r="J306" s="57"/>
      <c r="K306" s="57">
        <f t="shared" si="4"/>
        <v>174.65</v>
      </c>
      <c r="L306" s="55"/>
      <c r="M306" s="100" t="s">
        <v>407</v>
      </c>
      <c r="N306" s="100" t="s">
        <v>410</v>
      </c>
    </row>
    <row r="307" spans="1:14" ht="15" customHeight="1" x14ac:dyDescent="0.25">
      <c r="A307" s="53" t="s">
        <v>132</v>
      </c>
      <c r="B307" s="54">
        <v>46046</v>
      </c>
      <c r="C307" s="55"/>
      <c r="D307" s="55" t="s">
        <v>150</v>
      </c>
      <c r="E307" s="55"/>
      <c r="F307" s="55"/>
      <c r="G307" s="55"/>
      <c r="H307" s="56"/>
      <c r="I307" s="57">
        <v>258.85000000000002</v>
      </c>
      <c r="J307" s="57"/>
      <c r="K307" s="57">
        <f t="shared" si="4"/>
        <v>258.85000000000002</v>
      </c>
      <c r="L307" s="55"/>
      <c r="M307" s="100" t="s">
        <v>407</v>
      </c>
      <c r="N307" s="100" t="s">
        <v>410</v>
      </c>
    </row>
    <row r="308" spans="1:14" ht="15" customHeight="1" x14ac:dyDescent="0.25">
      <c r="A308" s="58" t="s">
        <v>136</v>
      </c>
      <c r="B308" s="59">
        <v>46047</v>
      </c>
      <c r="C308" s="59">
        <v>46047</v>
      </c>
      <c r="D308" s="60" t="s">
        <v>138</v>
      </c>
      <c r="E308" s="60" t="s">
        <v>16</v>
      </c>
      <c r="F308" s="60"/>
      <c r="G308" s="60" t="s">
        <v>6</v>
      </c>
      <c r="H308" s="61">
        <v>42.27</v>
      </c>
      <c r="I308" s="62">
        <v>126.39</v>
      </c>
      <c r="J308" s="62">
        <v>126.39</v>
      </c>
      <c r="K308" s="62">
        <f t="shared" si="4"/>
        <v>0</v>
      </c>
      <c r="L308" s="60"/>
      <c r="M308" s="100" t="s">
        <v>407</v>
      </c>
      <c r="N308" s="100" t="s">
        <v>410</v>
      </c>
    </row>
    <row r="309" spans="1:14" ht="15" customHeight="1" x14ac:dyDescent="0.25">
      <c r="A309" s="58" t="s">
        <v>136</v>
      </c>
      <c r="B309" s="59">
        <v>46048</v>
      </c>
      <c r="C309" s="59">
        <v>46048</v>
      </c>
      <c r="D309" s="60" t="s">
        <v>138</v>
      </c>
      <c r="E309" s="60" t="s">
        <v>16</v>
      </c>
      <c r="F309" s="60"/>
      <c r="G309" s="60" t="s">
        <v>6</v>
      </c>
      <c r="H309" s="61">
        <v>26.08</v>
      </c>
      <c r="I309" s="62">
        <v>77.98</v>
      </c>
      <c r="J309" s="62">
        <v>77.98</v>
      </c>
      <c r="K309" s="62">
        <f t="shared" si="4"/>
        <v>0</v>
      </c>
      <c r="L309" s="60"/>
      <c r="M309" s="100" t="s">
        <v>407</v>
      </c>
      <c r="N309" s="100" t="s">
        <v>410</v>
      </c>
    </row>
    <row r="310" spans="1:14" ht="15" customHeight="1" x14ac:dyDescent="0.25">
      <c r="A310" s="53" t="s">
        <v>132</v>
      </c>
      <c r="B310" s="54">
        <v>46049</v>
      </c>
      <c r="C310" s="55"/>
      <c r="D310" s="55" t="s">
        <v>143</v>
      </c>
      <c r="E310" s="55"/>
      <c r="F310" s="55"/>
      <c r="G310" s="55"/>
      <c r="H310" s="56"/>
      <c r="I310" s="57">
        <v>35.15</v>
      </c>
      <c r="J310" s="57"/>
      <c r="K310" s="57">
        <f t="shared" si="4"/>
        <v>35.15</v>
      </c>
      <c r="L310" s="55"/>
      <c r="M310" s="100" t="s">
        <v>407</v>
      </c>
      <c r="N310" s="100" t="s">
        <v>410</v>
      </c>
    </row>
    <row r="311" spans="1:14" ht="15" customHeight="1" x14ac:dyDescent="0.25">
      <c r="A311" s="58" t="s">
        <v>136</v>
      </c>
      <c r="B311" s="59">
        <v>46049</v>
      </c>
      <c r="C311" s="59">
        <v>46049</v>
      </c>
      <c r="D311" s="60" t="s">
        <v>138</v>
      </c>
      <c r="E311" s="60" t="s">
        <v>16</v>
      </c>
      <c r="F311" s="60"/>
      <c r="G311" s="60" t="s">
        <v>6</v>
      </c>
      <c r="H311" s="61">
        <v>43.06</v>
      </c>
      <c r="I311" s="62">
        <v>128.75</v>
      </c>
      <c r="J311" s="62">
        <v>128.75</v>
      </c>
      <c r="K311" s="62">
        <f t="shared" si="4"/>
        <v>0</v>
      </c>
      <c r="L311" s="60"/>
      <c r="M311" s="100" t="s">
        <v>407</v>
      </c>
      <c r="N311" s="100" t="s">
        <v>410</v>
      </c>
    </row>
    <row r="312" spans="1:14" ht="15" customHeight="1" x14ac:dyDescent="0.25">
      <c r="A312" s="58" t="s">
        <v>136</v>
      </c>
      <c r="B312" s="59">
        <v>46049</v>
      </c>
      <c r="C312" s="59">
        <v>46049</v>
      </c>
      <c r="D312" s="60" t="s">
        <v>138</v>
      </c>
      <c r="E312" s="60" t="s">
        <v>16</v>
      </c>
      <c r="F312" s="60"/>
      <c r="G312" s="60" t="s">
        <v>6</v>
      </c>
      <c r="H312" s="61">
        <v>42.14</v>
      </c>
      <c r="I312" s="62">
        <v>126</v>
      </c>
      <c r="J312" s="62">
        <v>126</v>
      </c>
      <c r="K312" s="62">
        <f t="shared" si="4"/>
        <v>0</v>
      </c>
      <c r="L312" s="60"/>
      <c r="M312" s="100" t="s">
        <v>407</v>
      </c>
      <c r="N312" s="100" t="s">
        <v>410</v>
      </c>
    </row>
    <row r="313" spans="1:14" ht="15" customHeight="1" x14ac:dyDescent="0.25">
      <c r="A313" s="53" t="s">
        <v>132</v>
      </c>
      <c r="B313" s="54">
        <v>46049</v>
      </c>
      <c r="C313" s="55"/>
      <c r="D313" s="55" t="s">
        <v>151</v>
      </c>
      <c r="E313" s="55"/>
      <c r="F313" s="55"/>
      <c r="G313" s="55"/>
      <c r="H313" s="56"/>
      <c r="I313" s="57">
        <v>128.94999999999999</v>
      </c>
      <c r="J313" s="57"/>
      <c r="K313" s="57">
        <f t="shared" si="4"/>
        <v>128.94999999999999</v>
      </c>
      <c r="L313" s="55"/>
      <c r="M313" s="100" t="s">
        <v>407</v>
      </c>
      <c r="N313" s="100" t="s">
        <v>410</v>
      </c>
    </row>
    <row r="314" spans="1:14" ht="15" customHeight="1" x14ac:dyDescent="0.25">
      <c r="A314" s="53" t="s">
        <v>132</v>
      </c>
      <c r="B314" s="54">
        <v>46049</v>
      </c>
      <c r="C314" s="55"/>
      <c r="D314" s="55" t="s">
        <v>144</v>
      </c>
      <c r="E314" s="55"/>
      <c r="F314" s="55"/>
      <c r="G314" s="55"/>
      <c r="H314" s="56"/>
      <c r="I314" s="57">
        <v>259.57</v>
      </c>
      <c r="J314" s="57"/>
      <c r="K314" s="57">
        <f t="shared" si="4"/>
        <v>259.57</v>
      </c>
      <c r="L314" s="55"/>
      <c r="M314" s="100" t="s">
        <v>407</v>
      </c>
      <c r="N314" s="100" t="s">
        <v>410</v>
      </c>
    </row>
    <row r="315" spans="1:14" ht="15" customHeight="1" x14ac:dyDescent="0.25">
      <c r="A315" s="53" t="s">
        <v>132</v>
      </c>
      <c r="B315" s="54">
        <v>46050</v>
      </c>
      <c r="C315" s="55"/>
      <c r="D315" s="55" t="s">
        <v>153</v>
      </c>
      <c r="E315" s="55"/>
      <c r="F315" s="55"/>
      <c r="G315" s="55"/>
      <c r="H315" s="56"/>
      <c r="I315" s="57">
        <v>36.07</v>
      </c>
      <c r="J315" s="57"/>
      <c r="K315" s="57">
        <f t="shared" si="4"/>
        <v>36.07</v>
      </c>
      <c r="L315" s="55"/>
      <c r="M315" s="100" t="s">
        <v>407</v>
      </c>
      <c r="N315" s="100" t="s">
        <v>410</v>
      </c>
    </row>
    <row r="316" spans="1:14" ht="15" customHeight="1" x14ac:dyDescent="0.25">
      <c r="A316" s="53" t="s">
        <v>132</v>
      </c>
      <c r="B316" s="54">
        <v>46051</v>
      </c>
      <c r="C316" s="55"/>
      <c r="D316" s="55" t="s">
        <v>134</v>
      </c>
      <c r="E316" s="55"/>
      <c r="F316" s="55"/>
      <c r="G316" s="55"/>
      <c r="H316" s="56"/>
      <c r="I316" s="57">
        <v>117.5</v>
      </c>
      <c r="J316" s="57"/>
      <c r="K316" s="57">
        <f t="shared" si="4"/>
        <v>117.5</v>
      </c>
      <c r="L316" s="55"/>
      <c r="M316" s="100" t="s">
        <v>407</v>
      </c>
      <c r="N316" s="100" t="s">
        <v>410</v>
      </c>
    </row>
    <row r="317" spans="1:14" ht="15" customHeight="1" x14ac:dyDescent="0.25">
      <c r="A317" s="58" t="s">
        <v>136</v>
      </c>
      <c r="B317" s="59">
        <v>46052</v>
      </c>
      <c r="C317" s="59">
        <v>46052</v>
      </c>
      <c r="D317" s="60" t="s">
        <v>138</v>
      </c>
      <c r="E317" s="60" t="s">
        <v>16</v>
      </c>
      <c r="F317" s="60"/>
      <c r="G317" s="60" t="s">
        <v>6</v>
      </c>
      <c r="H317" s="61">
        <v>34.19</v>
      </c>
      <c r="I317" s="62">
        <v>102.23</v>
      </c>
      <c r="J317" s="62">
        <v>102.23</v>
      </c>
      <c r="K317" s="62">
        <f t="shared" si="4"/>
        <v>0</v>
      </c>
      <c r="L317" s="60"/>
      <c r="M317" s="100" t="s">
        <v>407</v>
      </c>
      <c r="N317" s="100" t="s">
        <v>410</v>
      </c>
    </row>
    <row r="318" spans="1:14" ht="15" customHeight="1" x14ac:dyDescent="0.25">
      <c r="A318" s="58" t="s">
        <v>136</v>
      </c>
      <c r="B318" s="59">
        <v>46052</v>
      </c>
      <c r="C318" s="59">
        <v>46052</v>
      </c>
      <c r="D318" s="60" t="s">
        <v>133</v>
      </c>
      <c r="E318" s="60" t="s">
        <v>17</v>
      </c>
      <c r="F318" s="60"/>
      <c r="G318" s="60" t="s">
        <v>6</v>
      </c>
      <c r="H318" s="61">
        <v>49</v>
      </c>
      <c r="I318" s="62">
        <v>171.01</v>
      </c>
      <c r="J318" s="62">
        <v>171.01</v>
      </c>
      <c r="K318" s="62">
        <f t="shared" si="4"/>
        <v>0</v>
      </c>
      <c r="L318" s="60"/>
      <c r="M318" s="100" t="s">
        <v>407</v>
      </c>
      <c r="N318" s="100" t="s">
        <v>410</v>
      </c>
    </row>
    <row r="319" spans="1:14" ht="15" customHeight="1" x14ac:dyDescent="0.25">
      <c r="A319" s="53" t="s">
        <v>132</v>
      </c>
      <c r="B319" s="54">
        <v>46053</v>
      </c>
      <c r="C319" s="55"/>
      <c r="D319" s="55" t="s">
        <v>154</v>
      </c>
      <c r="E319" s="55"/>
      <c r="F319" s="55"/>
      <c r="G319" s="55"/>
      <c r="H319" s="56"/>
      <c r="I319" s="57">
        <v>129.22</v>
      </c>
      <c r="J319" s="57"/>
      <c r="K319" s="57">
        <f t="shared" si="4"/>
        <v>129.22</v>
      </c>
      <c r="L319" s="55"/>
      <c r="M319" s="100" t="s">
        <v>407</v>
      </c>
      <c r="N319" s="100" t="s">
        <v>410</v>
      </c>
    </row>
    <row r="320" spans="1:14" ht="15" customHeight="1" x14ac:dyDescent="0.25">
      <c r="A320" s="58" t="s">
        <v>136</v>
      </c>
      <c r="B320" s="59">
        <v>46056</v>
      </c>
      <c r="C320" s="59">
        <v>46056</v>
      </c>
      <c r="D320" s="60" t="s">
        <v>138</v>
      </c>
      <c r="E320" s="60" t="s">
        <v>16</v>
      </c>
      <c r="F320" s="60"/>
      <c r="G320" s="60" t="s">
        <v>6</v>
      </c>
      <c r="H320" s="61">
        <v>28.52</v>
      </c>
      <c r="I320" s="62">
        <v>85.27</v>
      </c>
      <c r="J320" s="62">
        <v>85.27</v>
      </c>
      <c r="K320" s="62">
        <f t="shared" si="4"/>
        <v>0</v>
      </c>
      <c r="L320" s="60"/>
      <c r="M320" s="100" t="s">
        <v>407</v>
      </c>
      <c r="N320" s="100" t="s">
        <v>410</v>
      </c>
    </row>
    <row r="321" spans="1:14" ht="15" customHeight="1" x14ac:dyDescent="0.25">
      <c r="A321" s="53" t="s">
        <v>132</v>
      </c>
      <c r="B321" s="54">
        <v>46057</v>
      </c>
      <c r="C321" s="55"/>
      <c r="D321" s="55" t="s">
        <v>134</v>
      </c>
      <c r="E321" s="55"/>
      <c r="F321" s="55"/>
      <c r="G321" s="55"/>
      <c r="H321" s="56"/>
      <c r="I321" s="57">
        <v>144.82</v>
      </c>
      <c r="J321" s="57"/>
      <c r="K321" s="57">
        <f t="shared" si="4"/>
        <v>144.82</v>
      </c>
      <c r="L321" s="55"/>
      <c r="M321" s="100" t="s">
        <v>407</v>
      </c>
      <c r="N321" s="100" t="s">
        <v>410</v>
      </c>
    </row>
    <row r="322" spans="1:14" ht="15" customHeight="1" x14ac:dyDescent="0.25">
      <c r="A322" s="53" t="s">
        <v>132</v>
      </c>
      <c r="B322" s="54">
        <v>46057</v>
      </c>
      <c r="C322" s="55"/>
      <c r="D322" s="55" t="s">
        <v>143</v>
      </c>
      <c r="E322" s="55"/>
      <c r="F322" s="55"/>
      <c r="G322" s="55"/>
      <c r="H322" s="56"/>
      <c r="I322" s="57">
        <v>92.48</v>
      </c>
      <c r="J322" s="57"/>
      <c r="K322" s="57">
        <f t="shared" si="4"/>
        <v>92.48</v>
      </c>
      <c r="L322" s="55"/>
      <c r="M322" s="100" t="s">
        <v>407</v>
      </c>
      <c r="N322" s="100" t="s">
        <v>410</v>
      </c>
    </row>
    <row r="323" spans="1:14" ht="15" customHeight="1" x14ac:dyDescent="0.25">
      <c r="A323" s="63" t="s">
        <v>142</v>
      </c>
      <c r="B323" s="64">
        <v>46057</v>
      </c>
      <c r="C323" s="64">
        <v>46057</v>
      </c>
      <c r="D323" s="65" t="s">
        <v>138</v>
      </c>
      <c r="E323" s="65" t="s">
        <v>16</v>
      </c>
      <c r="F323" s="65"/>
      <c r="G323" s="65" t="s">
        <v>6</v>
      </c>
      <c r="H323" s="66">
        <v>29.34</v>
      </c>
      <c r="I323" s="67">
        <v>87.72</v>
      </c>
      <c r="J323" s="67">
        <v>87.73</v>
      </c>
      <c r="K323" s="67">
        <f t="shared" si="4"/>
        <v>-1.0000000000005116E-2</v>
      </c>
      <c r="L323" s="65"/>
      <c r="M323" s="100" t="s">
        <v>407</v>
      </c>
      <c r="N323" s="100" t="s">
        <v>410</v>
      </c>
    </row>
    <row r="324" spans="1:14" ht="15" customHeight="1" x14ac:dyDescent="0.25">
      <c r="A324" s="58" t="s">
        <v>136</v>
      </c>
      <c r="B324" s="59">
        <v>46057</v>
      </c>
      <c r="C324" s="59">
        <v>46057</v>
      </c>
      <c r="D324" s="60" t="s">
        <v>138</v>
      </c>
      <c r="E324" s="60" t="s">
        <v>16</v>
      </c>
      <c r="F324" s="60"/>
      <c r="G324" s="60" t="s">
        <v>6</v>
      </c>
      <c r="H324" s="61">
        <v>35.65</v>
      </c>
      <c r="I324" s="62">
        <v>106.59</v>
      </c>
      <c r="J324" s="62">
        <v>106.59</v>
      </c>
      <c r="K324" s="62">
        <f t="shared" si="4"/>
        <v>0</v>
      </c>
      <c r="L324" s="60"/>
      <c r="M324" s="100" t="s">
        <v>407</v>
      </c>
      <c r="N324" s="100" t="s">
        <v>410</v>
      </c>
    </row>
    <row r="325" spans="1:14" ht="15" customHeight="1" x14ac:dyDescent="0.25">
      <c r="A325" s="53" t="s">
        <v>132</v>
      </c>
      <c r="B325" s="54">
        <v>46058</v>
      </c>
      <c r="C325" s="55"/>
      <c r="D325" s="55" t="s">
        <v>135</v>
      </c>
      <c r="E325" s="55"/>
      <c r="F325" s="55"/>
      <c r="G325" s="55"/>
      <c r="H325" s="56"/>
      <c r="I325" s="57">
        <v>72.260000000000005</v>
      </c>
      <c r="J325" s="57"/>
      <c r="K325" s="57">
        <f t="shared" ref="K325:K388" si="5">IFERROR(I325-J325,"")</f>
        <v>72.260000000000005</v>
      </c>
      <c r="L325" s="55"/>
      <c r="M325" s="100" t="s">
        <v>407</v>
      </c>
      <c r="N325" s="100" t="s">
        <v>410</v>
      </c>
    </row>
    <row r="326" spans="1:14" ht="15" customHeight="1" x14ac:dyDescent="0.25">
      <c r="A326" s="58" t="s">
        <v>136</v>
      </c>
      <c r="B326" s="59">
        <v>46058</v>
      </c>
      <c r="C326" s="59">
        <v>46058</v>
      </c>
      <c r="D326" s="60" t="s">
        <v>138</v>
      </c>
      <c r="E326" s="60" t="s">
        <v>16</v>
      </c>
      <c r="F326" s="60"/>
      <c r="G326" s="60" t="s">
        <v>6</v>
      </c>
      <c r="H326" s="61">
        <v>55.92</v>
      </c>
      <c r="I326" s="62">
        <v>167.2</v>
      </c>
      <c r="J326" s="62">
        <v>167.2</v>
      </c>
      <c r="K326" s="62">
        <f t="shared" si="5"/>
        <v>0</v>
      </c>
      <c r="L326" s="60"/>
      <c r="M326" s="100" t="s">
        <v>407</v>
      </c>
      <c r="N326" s="100" t="s">
        <v>410</v>
      </c>
    </row>
    <row r="327" spans="1:14" ht="15" customHeight="1" x14ac:dyDescent="0.25">
      <c r="A327" s="58" t="s">
        <v>136</v>
      </c>
      <c r="B327" s="59">
        <v>46059</v>
      </c>
      <c r="C327" s="59">
        <v>46059</v>
      </c>
      <c r="D327" s="60" t="s">
        <v>138</v>
      </c>
      <c r="E327" s="60" t="s">
        <v>16</v>
      </c>
      <c r="F327" s="60"/>
      <c r="G327" s="60" t="s">
        <v>6</v>
      </c>
      <c r="H327" s="61">
        <v>19.98</v>
      </c>
      <c r="I327" s="62">
        <v>59.74</v>
      </c>
      <c r="J327" s="62">
        <v>59.74</v>
      </c>
      <c r="K327" s="62">
        <f t="shared" si="5"/>
        <v>0</v>
      </c>
      <c r="L327" s="60"/>
      <c r="M327" s="100" t="s">
        <v>407</v>
      </c>
      <c r="N327" s="100" t="s">
        <v>410</v>
      </c>
    </row>
    <row r="328" spans="1:14" ht="15" customHeight="1" x14ac:dyDescent="0.25">
      <c r="A328" s="53" t="s">
        <v>132</v>
      </c>
      <c r="B328" s="54">
        <v>46061</v>
      </c>
      <c r="C328" s="55"/>
      <c r="D328" s="55" t="s">
        <v>141</v>
      </c>
      <c r="E328" s="55"/>
      <c r="F328" s="55"/>
      <c r="G328" s="55"/>
      <c r="H328" s="56"/>
      <c r="I328" s="57">
        <v>239.52</v>
      </c>
      <c r="J328" s="57"/>
      <c r="K328" s="57">
        <f t="shared" si="5"/>
        <v>239.52</v>
      </c>
      <c r="L328" s="55"/>
      <c r="M328" s="100" t="s">
        <v>407</v>
      </c>
      <c r="N328" s="100" t="s">
        <v>410</v>
      </c>
    </row>
    <row r="329" spans="1:14" ht="15" customHeight="1" x14ac:dyDescent="0.25">
      <c r="A329" s="53" t="s">
        <v>132</v>
      </c>
      <c r="B329" s="54">
        <v>46062</v>
      </c>
      <c r="C329" s="55"/>
      <c r="D329" s="55" t="s">
        <v>137</v>
      </c>
      <c r="E329" s="55"/>
      <c r="F329" s="55"/>
      <c r="G329" s="55"/>
      <c r="H329" s="56"/>
      <c r="I329" s="57">
        <v>385.15</v>
      </c>
      <c r="J329" s="57"/>
      <c r="K329" s="57">
        <f t="shared" si="5"/>
        <v>385.15</v>
      </c>
      <c r="L329" s="55"/>
      <c r="M329" s="100" t="s">
        <v>407</v>
      </c>
      <c r="N329" s="100" t="s">
        <v>410</v>
      </c>
    </row>
    <row r="330" spans="1:14" ht="15" customHeight="1" x14ac:dyDescent="0.25">
      <c r="A330" s="53" t="s">
        <v>132</v>
      </c>
      <c r="B330" s="54">
        <v>46062</v>
      </c>
      <c r="C330" s="55"/>
      <c r="D330" s="55" t="s">
        <v>134</v>
      </c>
      <c r="E330" s="55"/>
      <c r="F330" s="55"/>
      <c r="G330" s="55"/>
      <c r="H330" s="56"/>
      <c r="I330" s="57">
        <v>139.15</v>
      </c>
      <c r="J330" s="57"/>
      <c r="K330" s="57">
        <f t="shared" si="5"/>
        <v>139.15</v>
      </c>
      <c r="L330" s="55"/>
      <c r="M330" s="100" t="s">
        <v>407</v>
      </c>
      <c r="N330" s="100" t="s">
        <v>410</v>
      </c>
    </row>
    <row r="331" spans="1:14" ht="15" customHeight="1" x14ac:dyDescent="0.25">
      <c r="A331" s="58" t="s">
        <v>136</v>
      </c>
      <c r="B331" s="59">
        <v>46064</v>
      </c>
      <c r="C331" s="59">
        <v>46064</v>
      </c>
      <c r="D331" s="60" t="s">
        <v>138</v>
      </c>
      <c r="E331" s="60" t="s">
        <v>16</v>
      </c>
      <c r="F331" s="60"/>
      <c r="G331" s="60" t="s">
        <v>6</v>
      </c>
      <c r="H331" s="61">
        <v>19.010000000000002</v>
      </c>
      <c r="I331" s="62">
        <v>56.84</v>
      </c>
      <c r="J331" s="62">
        <v>56.84</v>
      </c>
      <c r="K331" s="62">
        <f t="shared" si="5"/>
        <v>0</v>
      </c>
      <c r="L331" s="60"/>
      <c r="M331" s="100" t="s">
        <v>407</v>
      </c>
      <c r="N331" s="100" t="s">
        <v>410</v>
      </c>
    </row>
    <row r="332" spans="1:14" ht="15" customHeight="1" x14ac:dyDescent="0.25">
      <c r="A332" s="53" t="s">
        <v>132</v>
      </c>
      <c r="B332" s="54">
        <v>46064</v>
      </c>
      <c r="C332" s="55"/>
      <c r="D332" s="55" t="s">
        <v>134</v>
      </c>
      <c r="E332" s="55"/>
      <c r="F332" s="55"/>
      <c r="G332" s="55"/>
      <c r="H332" s="56"/>
      <c r="I332" s="57">
        <v>168.84</v>
      </c>
      <c r="J332" s="57"/>
      <c r="K332" s="57">
        <f t="shared" si="5"/>
        <v>168.84</v>
      </c>
      <c r="L332" s="55"/>
      <c r="M332" s="100" t="s">
        <v>407</v>
      </c>
      <c r="N332" s="100" t="s">
        <v>410</v>
      </c>
    </row>
    <row r="333" spans="1:14" ht="15" customHeight="1" x14ac:dyDescent="0.25">
      <c r="A333" s="58" t="s">
        <v>136</v>
      </c>
      <c r="B333" s="59">
        <v>46066</v>
      </c>
      <c r="C333" s="59">
        <v>46066</v>
      </c>
      <c r="D333" s="60" t="s">
        <v>138</v>
      </c>
      <c r="E333" s="60" t="s">
        <v>16</v>
      </c>
      <c r="F333" s="60"/>
      <c r="G333" s="60" t="s">
        <v>6</v>
      </c>
      <c r="H333" s="61">
        <v>25.38</v>
      </c>
      <c r="I333" s="62">
        <v>75.89</v>
      </c>
      <c r="J333" s="62">
        <v>75.89</v>
      </c>
      <c r="K333" s="62">
        <f t="shared" si="5"/>
        <v>0</v>
      </c>
      <c r="L333" s="60"/>
      <c r="M333" s="100" t="s">
        <v>407</v>
      </c>
      <c r="N333" s="100" t="s">
        <v>410</v>
      </c>
    </row>
    <row r="334" spans="1:14" ht="15" customHeight="1" x14ac:dyDescent="0.25">
      <c r="A334" s="53" t="s">
        <v>132</v>
      </c>
      <c r="B334" s="54">
        <v>46066</v>
      </c>
      <c r="C334" s="55"/>
      <c r="D334" s="55" t="s">
        <v>144</v>
      </c>
      <c r="E334" s="55"/>
      <c r="F334" s="55"/>
      <c r="G334" s="55"/>
      <c r="H334" s="56"/>
      <c r="I334" s="57">
        <v>199.6</v>
      </c>
      <c r="J334" s="57"/>
      <c r="K334" s="57">
        <f t="shared" si="5"/>
        <v>199.6</v>
      </c>
      <c r="L334" s="55"/>
      <c r="M334" s="100" t="s">
        <v>407</v>
      </c>
      <c r="N334" s="100" t="s">
        <v>410</v>
      </c>
    </row>
    <row r="335" spans="1:14" ht="15" customHeight="1" x14ac:dyDescent="0.25">
      <c r="A335" s="53" t="s">
        <v>132</v>
      </c>
      <c r="B335" s="54">
        <v>46067</v>
      </c>
      <c r="C335" s="55"/>
      <c r="D335" s="55" t="s">
        <v>139</v>
      </c>
      <c r="E335" s="55"/>
      <c r="F335" s="55"/>
      <c r="G335" s="55"/>
      <c r="H335" s="56"/>
      <c r="I335" s="57">
        <v>137.79</v>
      </c>
      <c r="J335" s="57"/>
      <c r="K335" s="57">
        <f t="shared" si="5"/>
        <v>137.79</v>
      </c>
      <c r="L335" s="55"/>
      <c r="M335" s="100" t="s">
        <v>407</v>
      </c>
      <c r="N335" s="100" t="s">
        <v>410</v>
      </c>
    </row>
    <row r="336" spans="1:14" ht="15" customHeight="1" x14ac:dyDescent="0.25">
      <c r="A336" s="53" t="s">
        <v>132</v>
      </c>
      <c r="B336" s="54">
        <v>46068</v>
      </c>
      <c r="C336" s="55"/>
      <c r="D336" s="55" t="s">
        <v>146</v>
      </c>
      <c r="E336" s="55"/>
      <c r="F336" s="55"/>
      <c r="G336" s="55"/>
      <c r="H336" s="56"/>
      <c r="I336" s="57">
        <v>116.42</v>
      </c>
      <c r="J336" s="57"/>
      <c r="K336" s="57">
        <f t="shared" si="5"/>
        <v>116.42</v>
      </c>
      <c r="L336" s="55"/>
      <c r="M336" s="100" t="s">
        <v>407</v>
      </c>
      <c r="N336" s="100" t="s">
        <v>410</v>
      </c>
    </row>
    <row r="337" spans="1:14" ht="15" customHeight="1" x14ac:dyDescent="0.25">
      <c r="A337" s="53" t="s">
        <v>132</v>
      </c>
      <c r="B337" s="54">
        <v>46068</v>
      </c>
      <c r="C337" s="55"/>
      <c r="D337" s="55" t="s">
        <v>151</v>
      </c>
      <c r="E337" s="55"/>
      <c r="F337" s="55"/>
      <c r="G337" s="55"/>
      <c r="H337" s="56"/>
      <c r="I337" s="57">
        <v>137.88</v>
      </c>
      <c r="J337" s="57"/>
      <c r="K337" s="57">
        <f t="shared" si="5"/>
        <v>137.88</v>
      </c>
      <c r="L337" s="55"/>
      <c r="M337" s="100" t="s">
        <v>407</v>
      </c>
      <c r="N337" s="100" t="s">
        <v>410</v>
      </c>
    </row>
    <row r="338" spans="1:14" ht="15" customHeight="1" x14ac:dyDescent="0.25">
      <c r="A338" s="53" t="s">
        <v>132</v>
      </c>
      <c r="B338" s="54">
        <v>46069</v>
      </c>
      <c r="C338" s="55"/>
      <c r="D338" s="55" t="s">
        <v>137</v>
      </c>
      <c r="E338" s="55"/>
      <c r="F338" s="55"/>
      <c r="G338" s="55"/>
      <c r="H338" s="56"/>
      <c r="I338" s="57">
        <v>146.28</v>
      </c>
      <c r="J338" s="57"/>
      <c r="K338" s="57">
        <f t="shared" si="5"/>
        <v>146.28</v>
      </c>
      <c r="L338" s="55"/>
      <c r="M338" s="100" t="s">
        <v>407</v>
      </c>
      <c r="N338" s="100" t="s">
        <v>410</v>
      </c>
    </row>
    <row r="339" spans="1:14" ht="15" customHeight="1" x14ac:dyDescent="0.25">
      <c r="A339" s="53" t="s">
        <v>132</v>
      </c>
      <c r="B339" s="54">
        <v>46071</v>
      </c>
      <c r="C339" s="55"/>
      <c r="D339" s="55" t="s">
        <v>141</v>
      </c>
      <c r="E339" s="55"/>
      <c r="F339" s="55"/>
      <c r="G339" s="55"/>
      <c r="H339" s="56"/>
      <c r="I339" s="57">
        <v>234.95</v>
      </c>
      <c r="J339" s="57"/>
      <c r="K339" s="57">
        <f t="shared" si="5"/>
        <v>234.95</v>
      </c>
      <c r="L339" s="55"/>
      <c r="M339" s="100" t="s">
        <v>407</v>
      </c>
      <c r="N339" s="100" t="s">
        <v>410</v>
      </c>
    </row>
    <row r="340" spans="1:14" ht="15" customHeight="1" x14ac:dyDescent="0.25">
      <c r="A340" s="53" t="s">
        <v>132</v>
      </c>
      <c r="B340" s="54">
        <v>46072</v>
      </c>
      <c r="C340" s="55"/>
      <c r="D340" s="55" t="s">
        <v>149</v>
      </c>
      <c r="E340" s="55"/>
      <c r="F340" s="55"/>
      <c r="G340" s="55"/>
      <c r="H340" s="56"/>
      <c r="I340" s="57">
        <v>96.84</v>
      </c>
      <c r="J340" s="57"/>
      <c r="K340" s="57">
        <f t="shared" si="5"/>
        <v>96.84</v>
      </c>
      <c r="L340" s="55"/>
      <c r="M340" s="100" t="s">
        <v>407</v>
      </c>
      <c r="N340" s="100" t="s">
        <v>410</v>
      </c>
    </row>
    <row r="341" spans="1:14" ht="15" customHeight="1" x14ac:dyDescent="0.25">
      <c r="A341" s="53" t="s">
        <v>132</v>
      </c>
      <c r="B341" s="54">
        <v>46076</v>
      </c>
      <c r="C341" s="55"/>
      <c r="D341" s="55" t="s">
        <v>134</v>
      </c>
      <c r="E341" s="55"/>
      <c r="F341" s="55"/>
      <c r="G341" s="55"/>
      <c r="H341" s="56"/>
      <c r="I341" s="57">
        <v>65.59</v>
      </c>
      <c r="J341" s="57"/>
      <c r="K341" s="57">
        <f t="shared" si="5"/>
        <v>65.59</v>
      </c>
      <c r="L341" s="55"/>
      <c r="M341" s="100" t="s">
        <v>407</v>
      </c>
      <c r="N341" s="100" t="s">
        <v>410</v>
      </c>
    </row>
    <row r="342" spans="1:14" ht="15" customHeight="1" x14ac:dyDescent="0.25">
      <c r="A342" s="58" t="s">
        <v>136</v>
      </c>
      <c r="B342" s="59">
        <v>46077</v>
      </c>
      <c r="C342" s="59">
        <v>46073</v>
      </c>
      <c r="D342" s="60" t="s">
        <v>137</v>
      </c>
      <c r="E342" s="60" t="s">
        <v>15</v>
      </c>
      <c r="F342" s="60"/>
      <c r="G342" s="60" t="s">
        <v>6</v>
      </c>
      <c r="H342" s="61">
        <v>17.36</v>
      </c>
      <c r="I342" s="62">
        <v>54.53</v>
      </c>
      <c r="J342" s="62">
        <v>54.53</v>
      </c>
      <c r="K342" s="62">
        <f t="shared" si="5"/>
        <v>0</v>
      </c>
      <c r="L342" s="60"/>
      <c r="M342" s="100" t="s">
        <v>407</v>
      </c>
      <c r="N342" s="100" t="s">
        <v>410</v>
      </c>
    </row>
    <row r="343" spans="1:14" ht="15" customHeight="1" x14ac:dyDescent="0.25">
      <c r="A343" s="53" t="s">
        <v>132</v>
      </c>
      <c r="B343" s="54">
        <v>46077</v>
      </c>
      <c r="C343" s="55"/>
      <c r="D343" s="55" t="s">
        <v>135</v>
      </c>
      <c r="E343" s="55"/>
      <c r="F343" s="55"/>
      <c r="G343" s="55"/>
      <c r="H343" s="56"/>
      <c r="I343" s="57">
        <v>70.06</v>
      </c>
      <c r="J343" s="57"/>
      <c r="K343" s="57">
        <f t="shared" si="5"/>
        <v>70.06</v>
      </c>
      <c r="L343" s="55"/>
      <c r="M343" s="100" t="s">
        <v>407</v>
      </c>
      <c r="N343" s="100" t="s">
        <v>410</v>
      </c>
    </row>
    <row r="344" spans="1:14" ht="15" customHeight="1" x14ac:dyDescent="0.25">
      <c r="A344" s="58" t="s">
        <v>136</v>
      </c>
      <c r="B344" s="59">
        <v>46079</v>
      </c>
      <c r="C344" s="59">
        <v>46079</v>
      </c>
      <c r="D344" s="60" t="s">
        <v>138</v>
      </c>
      <c r="E344" s="60" t="s">
        <v>16</v>
      </c>
      <c r="F344" s="60"/>
      <c r="G344" s="60" t="s">
        <v>6</v>
      </c>
      <c r="H344" s="61">
        <v>37.82</v>
      </c>
      <c r="I344" s="62">
        <v>113.08</v>
      </c>
      <c r="J344" s="62">
        <v>113.08</v>
      </c>
      <c r="K344" s="62">
        <f t="shared" si="5"/>
        <v>0</v>
      </c>
      <c r="L344" s="60"/>
      <c r="M344" s="100" t="s">
        <v>407</v>
      </c>
      <c r="N344" s="100" t="s">
        <v>410</v>
      </c>
    </row>
    <row r="345" spans="1:14" ht="15" customHeight="1" x14ac:dyDescent="0.25">
      <c r="A345" s="53" t="s">
        <v>132</v>
      </c>
      <c r="B345" s="54">
        <v>46079</v>
      </c>
      <c r="C345" s="55"/>
      <c r="D345" s="55" t="s">
        <v>141</v>
      </c>
      <c r="E345" s="55"/>
      <c r="F345" s="55"/>
      <c r="G345" s="55"/>
      <c r="H345" s="56"/>
      <c r="I345" s="57">
        <v>199.6</v>
      </c>
      <c r="J345" s="57"/>
      <c r="K345" s="57">
        <f t="shared" si="5"/>
        <v>199.6</v>
      </c>
      <c r="L345" s="55"/>
      <c r="M345" s="100" t="s">
        <v>407</v>
      </c>
      <c r="N345" s="100" t="s">
        <v>410</v>
      </c>
    </row>
    <row r="346" spans="1:14" ht="15" customHeight="1" x14ac:dyDescent="0.25">
      <c r="A346" s="53" t="s">
        <v>132</v>
      </c>
      <c r="B346" s="54">
        <v>46079</v>
      </c>
      <c r="C346" s="55"/>
      <c r="D346" s="55" t="s">
        <v>143</v>
      </c>
      <c r="E346" s="55"/>
      <c r="F346" s="55"/>
      <c r="G346" s="55"/>
      <c r="H346" s="56"/>
      <c r="I346" s="57">
        <v>127.62</v>
      </c>
      <c r="J346" s="57"/>
      <c r="K346" s="57">
        <f t="shared" si="5"/>
        <v>127.62</v>
      </c>
      <c r="L346" s="55"/>
      <c r="M346" s="100" t="s">
        <v>407</v>
      </c>
      <c r="N346" s="100" t="s">
        <v>410</v>
      </c>
    </row>
    <row r="347" spans="1:14" ht="15" customHeight="1" x14ac:dyDescent="0.25">
      <c r="A347" s="53" t="s">
        <v>132</v>
      </c>
      <c r="B347" s="54">
        <v>46081</v>
      </c>
      <c r="C347" s="55"/>
      <c r="D347" s="55" t="s">
        <v>134</v>
      </c>
      <c r="E347" s="55"/>
      <c r="F347" s="55"/>
      <c r="G347" s="55"/>
      <c r="H347" s="56"/>
      <c r="I347" s="57">
        <v>174.87</v>
      </c>
      <c r="J347" s="57"/>
      <c r="K347" s="57">
        <f t="shared" si="5"/>
        <v>174.87</v>
      </c>
      <c r="L347" s="55"/>
      <c r="M347" s="100" t="s">
        <v>407</v>
      </c>
      <c r="N347" s="100" t="s">
        <v>410</v>
      </c>
    </row>
    <row r="348" spans="1:14" ht="15" customHeight="1" x14ac:dyDescent="0.25">
      <c r="A348" s="53" t="s">
        <v>132</v>
      </c>
      <c r="B348" s="54">
        <v>46083</v>
      </c>
      <c r="C348" s="55"/>
      <c r="D348" s="55" t="s">
        <v>137</v>
      </c>
      <c r="E348" s="55"/>
      <c r="F348" s="55"/>
      <c r="G348" s="55"/>
      <c r="H348" s="56"/>
      <c r="I348" s="57">
        <v>344.04</v>
      </c>
      <c r="J348" s="57"/>
      <c r="K348" s="57">
        <f t="shared" si="5"/>
        <v>344.04</v>
      </c>
      <c r="L348" s="55"/>
      <c r="M348" s="100" t="s">
        <v>407</v>
      </c>
      <c r="N348" s="100" t="s">
        <v>410</v>
      </c>
    </row>
    <row r="349" spans="1:14" ht="15" customHeight="1" x14ac:dyDescent="0.25">
      <c r="A349" s="53" t="s">
        <v>132</v>
      </c>
      <c r="B349" s="54">
        <v>46084</v>
      </c>
      <c r="C349" s="55"/>
      <c r="D349" s="55" t="s">
        <v>161</v>
      </c>
      <c r="E349" s="55"/>
      <c r="F349" s="55"/>
      <c r="G349" s="55"/>
      <c r="H349" s="56"/>
      <c r="I349" s="57">
        <v>84</v>
      </c>
      <c r="J349" s="57"/>
      <c r="K349" s="57">
        <f t="shared" si="5"/>
        <v>84</v>
      </c>
      <c r="L349" s="55"/>
      <c r="M349" s="100" t="s">
        <v>407</v>
      </c>
      <c r="N349" s="100" t="s">
        <v>410</v>
      </c>
    </row>
    <row r="350" spans="1:14" ht="15" customHeight="1" x14ac:dyDescent="0.25">
      <c r="A350" s="53" t="s">
        <v>132</v>
      </c>
      <c r="B350" s="54">
        <v>46084</v>
      </c>
      <c r="C350" s="55"/>
      <c r="D350" s="55" t="s">
        <v>162</v>
      </c>
      <c r="E350" s="55"/>
      <c r="F350" s="55"/>
      <c r="G350" s="55"/>
      <c r="H350" s="56"/>
      <c r="I350" s="57">
        <v>146.63999999999999</v>
      </c>
      <c r="J350" s="57"/>
      <c r="K350" s="57">
        <f t="shared" si="5"/>
        <v>146.63999999999999</v>
      </c>
      <c r="L350" s="55"/>
      <c r="M350" s="100" t="s">
        <v>407</v>
      </c>
      <c r="N350" s="100" t="s">
        <v>410</v>
      </c>
    </row>
    <row r="351" spans="1:14" ht="15" customHeight="1" x14ac:dyDescent="0.25">
      <c r="A351" s="53" t="s">
        <v>132</v>
      </c>
      <c r="B351" s="54">
        <v>46085</v>
      </c>
      <c r="C351" s="55"/>
      <c r="D351" s="55" t="s">
        <v>163</v>
      </c>
      <c r="E351" s="55"/>
      <c r="F351" s="55"/>
      <c r="G351" s="55"/>
      <c r="H351" s="56"/>
      <c r="I351" s="57">
        <v>172.64</v>
      </c>
      <c r="J351" s="57"/>
      <c r="K351" s="57">
        <f t="shared" si="5"/>
        <v>172.64</v>
      </c>
      <c r="L351" s="55"/>
      <c r="M351" s="100" t="s">
        <v>407</v>
      </c>
      <c r="N351" s="100" t="s">
        <v>410</v>
      </c>
    </row>
    <row r="352" spans="1:14" ht="15" customHeight="1" x14ac:dyDescent="0.25">
      <c r="A352" s="53" t="s">
        <v>132</v>
      </c>
      <c r="B352" s="54">
        <v>46085</v>
      </c>
      <c r="C352" s="55"/>
      <c r="D352" s="55" t="s">
        <v>168</v>
      </c>
      <c r="E352" s="55"/>
      <c r="F352" s="55"/>
      <c r="G352" s="55"/>
      <c r="H352" s="56"/>
      <c r="I352" s="57">
        <v>71.8</v>
      </c>
      <c r="J352" s="57"/>
      <c r="K352" s="57">
        <f t="shared" si="5"/>
        <v>71.8</v>
      </c>
      <c r="L352" s="55"/>
      <c r="M352" s="100" t="s">
        <v>407</v>
      </c>
      <c r="N352" s="100" t="s">
        <v>410</v>
      </c>
    </row>
    <row r="353" spans="1:14" ht="15" customHeight="1" x14ac:dyDescent="0.25">
      <c r="A353" s="58" t="s">
        <v>136</v>
      </c>
      <c r="B353" s="59">
        <v>46086</v>
      </c>
      <c r="C353" s="59">
        <v>46086</v>
      </c>
      <c r="D353" s="60" t="s">
        <v>138</v>
      </c>
      <c r="E353" s="60" t="s">
        <v>16</v>
      </c>
      <c r="F353" s="60"/>
      <c r="G353" s="60" t="s">
        <v>6</v>
      </c>
      <c r="H353" s="61">
        <v>53.16</v>
      </c>
      <c r="I353" s="62">
        <v>158.94999999999999</v>
      </c>
      <c r="J353" s="62">
        <v>158.94999999999999</v>
      </c>
      <c r="K353" s="62">
        <f t="shared" si="5"/>
        <v>0</v>
      </c>
      <c r="L353" s="60"/>
      <c r="M353" s="100" t="s">
        <v>407</v>
      </c>
      <c r="N353" s="100" t="s">
        <v>410</v>
      </c>
    </row>
    <row r="354" spans="1:14" ht="15" customHeight="1" x14ac:dyDescent="0.25">
      <c r="A354" s="58" t="s">
        <v>136</v>
      </c>
      <c r="B354" s="59">
        <v>46086</v>
      </c>
      <c r="C354" s="59">
        <v>46086</v>
      </c>
      <c r="D354" s="60" t="s">
        <v>138</v>
      </c>
      <c r="E354" s="60" t="s">
        <v>16</v>
      </c>
      <c r="F354" s="60"/>
      <c r="G354" s="60" t="s">
        <v>6</v>
      </c>
      <c r="H354" s="61">
        <v>32.020000000000003</v>
      </c>
      <c r="I354" s="62">
        <v>95.74</v>
      </c>
      <c r="J354" s="62">
        <v>95.74</v>
      </c>
      <c r="K354" s="62">
        <f t="shared" si="5"/>
        <v>0</v>
      </c>
      <c r="L354" s="60"/>
      <c r="M354" s="100" t="s">
        <v>407</v>
      </c>
      <c r="N354" s="100" t="s">
        <v>410</v>
      </c>
    </row>
    <row r="355" spans="1:14" ht="15" customHeight="1" x14ac:dyDescent="0.25">
      <c r="A355" s="53" t="s">
        <v>132</v>
      </c>
      <c r="B355" s="54">
        <v>46087</v>
      </c>
      <c r="C355" s="55"/>
      <c r="D355" s="55" t="s">
        <v>165</v>
      </c>
      <c r="E355" s="55"/>
      <c r="F355" s="55"/>
      <c r="G355" s="55"/>
      <c r="H355" s="56"/>
      <c r="I355" s="57">
        <v>172.46</v>
      </c>
      <c r="J355" s="57"/>
      <c r="K355" s="57">
        <f t="shared" si="5"/>
        <v>172.46</v>
      </c>
      <c r="L355" s="55"/>
      <c r="M355" s="100" t="s">
        <v>407</v>
      </c>
      <c r="N355" s="100" t="s">
        <v>410</v>
      </c>
    </row>
    <row r="356" spans="1:14" ht="15" customHeight="1" x14ac:dyDescent="0.25">
      <c r="A356" s="53" t="s">
        <v>132</v>
      </c>
      <c r="B356" s="54">
        <v>46088</v>
      </c>
      <c r="C356" s="55"/>
      <c r="D356" s="55" t="s">
        <v>166</v>
      </c>
      <c r="E356" s="55"/>
      <c r="F356" s="55"/>
      <c r="G356" s="55"/>
      <c r="H356" s="56"/>
      <c r="I356" s="57">
        <v>64.64</v>
      </c>
      <c r="J356" s="57"/>
      <c r="K356" s="57">
        <f t="shared" si="5"/>
        <v>64.64</v>
      </c>
      <c r="L356" s="55"/>
      <c r="M356" s="100" t="s">
        <v>407</v>
      </c>
      <c r="N356" s="100" t="s">
        <v>410</v>
      </c>
    </row>
    <row r="357" spans="1:14" ht="15" customHeight="1" x14ac:dyDescent="0.25">
      <c r="A357" s="68" t="s">
        <v>169</v>
      </c>
      <c r="B357" s="69"/>
      <c r="C357" s="70">
        <v>46092</v>
      </c>
      <c r="D357" s="69"/>
      <c r="E357" s="69" t="s">
        <v>15</v>
      </c>
      <c r="F357" s="69"/>
      <c r="G357" s="69" t="s">
        <v>12</v>
      </c>
      <c r="H357" s="71">
        <v>31.53</v>
      </c>
      <c r="I357" s="72"/>
      <c r="J357" s="72">
        <v>212.51</v>
      </c>
      <c r="K357" s="72">
        <f t="shared" si="5"/>
        <v>-212.51</v>
      </c>
      <c r="L357" s="69"/>
      <c r="M357" s="69"/>
      <c r="N357" s="69"/>
    </row>
    <row r="358" spans="1:14" ht="15" customHeight="1" x14ac:dyDescent="0.25">
      <c r="A358" s="68" t="s">
        <v>169</v>
      </c>
      <c r="B358" s="69"/>
      <c r="C358" s="70">
        <v>46092</v>
      </c>
      <c r="D358" s="69"/>
      <c r="E358" s="69" t="s">
        <v>15</v>
      </c>
      <c r="F358" s="69"/>
      <c r="G358" s="69" t="s">
        <v>10</v>
      </c>
      <c r="H358" s="71">
        <v>80.131</v>
      </c>
      <c r="I358" s="72"/>
      <c r="J358" s="72">
        <v>548.09</v>
      </c>
      <c r="K358" s="72">
        <f t="shared" si="5"/>
        <v>-548.09</v>
      </c>
      <c r="L358" s="69"/>
      <c r="M358" s="69"/>
      <c r="N358" s="69"/>
    </row>
    <row r="359" spans="1:14" ht="15" customHeight="1" x14ac:dyDescent="0.25">
      <c r="A359" s="68" t="s">
        <v>169</v>
      </c>
      <c r="B359" s="69"/>
      <c r="C359" s="70">
        <v>46092</v>
      </c>
      <c r="D359" s="69"/>
      <c r="E359" s="69" t="s">
        <v>15</v>
      </c>
      <c r="F359" s="69"/>
      <c r="G359" s="69" t="s">
        <v>10</v>
      </c>
      <c r="H359" s="71">
        <v>342.37099999999998</v>
      </c>
      <c r="I359" s="72"/>
      <c r="J359" s="72">
        <v>2341.81</v>
      </c>
      <c r="K359" s="72">
        <f t="shared" si="5"/>
        <v>-2341.81</v>
      </c>
      <c r="L359" s="69"/>
      <c r="M359" s="69"/>
      <c r="N359" s="69"/>
    </row>
    <row r="360" spans="1:14" ht="15" customHeight="1" x14ac:dyDescent="0.25">
      <c r="A360" s="68" t="s">
        <v>169</v>
      </c>
      <c r="B360" s="69"/>
      <c r="C360" s="70">
        <v>46092</v>
      </c>
      <c r="D360" s="69"/>
      <c r="E360" s="69" t="s">
        <v>15</v>
      </c>
      <c r="F360" s="69"/>
      <c r="G360" s="69" t="s">
        <v>12</v>
      </c>
      <c r="H360" s="71">
        <v>25.07</v>
      </c>
      <c r="I360" s="72"/>
      <c r="J360" s="72">
        <v>168.97</v>
      </c>
      <c r="K360" s="72">
        <f t="shared" si="5"/>
        <v>-168.97</v>
      </c>
      <c r="L360" s="69"/>
      <c r="M360" s="69"/>
      <c r="N360" s="69"/>
    </row>
    <row r="361" spans="1:14" ht="15" customHeight="1" x14ac:dyDescent="0.25">
      <c r="A361" s="68" t="s">
        <v>169</v>
      </c>
      <c r="B361" s="69"/>
      <c r="C361" s="70">
        <v>46091</v>
      </c>
      <c r="D361" s="69"/>
      <c r="E361" s="69" t="s">
        <v>15</v>
      </c>
      <c r="F361" s="69"/>
      <c r="G361" s="69" t="s">
        <v>10</v>
      </c>
      <c r="H361" s="71">
        <v>428.44099999999997</v>
      </c>
      <c r="I361" s="72"/>
      <c r="J361" s="72">
        <v>2930.53</v>
      </c>
      <c r="K361" s="72">
        <f t="shared" si="5"/>
        <v>-2930.53</v>
      </c>
      <c r="L361" s="69"/>
      <c r="M361" s="69"/>
      <c r="N361" s="69"/>
    </row>
    <row r="362" spans="1:14" ht="15" customHeight="1" x14ac:dyDescent="0.25">
      <c r="A362" s="68" t="s">
        <v>169</v>
      </c>
      <c r="B362" s="69"/>
      <c r="C362" s="70">
        <v>46091</v>
      </c>
      <c r="D362" s="69"/>
      <c r="E362" s="69" t="s">
        <v>15</v>
      </c>
      <c r="F362" s="69"/>
      <c r="G362" s="69" t="s">
        <v>10</v>
      </c>
      <c r="H362" s="71">
        <v>317.05099999999999</v>
      </c>
      <c r="I362" s="72"/>
      <c r="J362" s="72">
        <v>2168.62</v>
      </c>
      <c r="K362" s="72">
        <f t="shared" si="5"/>
        <v>-2168.62</v>
      </c>
      <c r="L362" s="69"/>
      <c r="M362" s="69"/>
      <c r="N362" s="69"/>
    </row>
    <row r="363" spans="1:14" ht="15" customHeight="1" x14ac:dyDescent="0.25">
      <c r="A363" s="68" t="s">
        <v>169</v>
      </c>
      <c r="B363" s="69"/>
      <c r="C363" s="70">
        <v>46091</v>
      </c>
      <c r="D363" s="69"/>
      <c r="E363" s="69" t="s">
        <v>15</v>
      </c>
      <c r="F363" s="69"/>
      <c r="G363" s="69" t="s">
        <v>6</v>
      </c>
      <c r="H363" s="71">
        <v>16.72</v>
      </c>
      <c r="I363" s="72"/>
      <c r="J363" s="72">
        <v>52.51</v>
      </c>
      <c r="K363" s="72">
        <f t="shared" si="5"/>
        <v>-52.51</v>
      </c>
      <c r="L363" s="69"/>
      <c r="M363" s="69"/>
      <c r="N363" s="69"/>
    </row>
    <row r="364" spans="1:14" ht="15" customHeight="1" x14ac:dyDescent="0.25">
      <c r="A364" s="68" t="s">
        <v>169</v>
      </c>
      <c r="B364" s="69"/>
      <c r="C364" s="70">
        <v>46091</v>
      </c>
      <c r="D364" s="69"/>
      <c r="E364" s="69" t="s">
        <v>15</v>
      </c>
      <c r="F364" s="69"/>
      <c r="G364" s="69" t="s">
        <v>12</v>
      </c>
      <c r="H364" s="71">
        <v>43.6</v>
      </c>
      <c r="I364" s="72"/>
      <c r="J364" s="72">
        <v>293.86</v>
      </c>
      <c r="K364" s="72">
        <f t="shared" si="5"/>
        <v>-293.86</v>
      </c>
      <c r="L364" s="69"/>
      <c r="M364" s="69"/>
      <c r="N364" s="69"/>
    </row>
    <row r="365" spans="1:14" ht="15" customHeight="1" x14ac:dyDescent="0.25">
      <c r="A365" s="68" t="s">
        <v>169</v>
      </c>
      <c r="B365" s="69"/>
      <c r="C365" s="70">
        <v>46090</v>
      </c>
      <c r="D365" s="69"/>
      <c r="E365" s="69" t="s">
        <v>19</v>
      </c>
      <c r="F365" s="69"/>
      <c r="G365" s="69" t="s">
        <v>12</v>
      </c>
      <c r="H365" s="71">
        <v>34.53</v>
      </c>
      <c r="I365" s="72"/>
      <c r="J365" s="72">
        <v>224.1</v>
      </c>
      <c r="K365" s="72">
        <f t="shared" si="5"/>
        <v>-224.1</v>
      </c>
      <c r="L365" s="69"/>
      <c r="M365" s="69"/>
      <c r="N365" s="69"/>
    </row>
    <row r="366" spans="1:14" ht="15" customHeight="1" x14ac:dyDescent="0.25">
      <c r="A366" s="68" t="s">
        <v>169</v>
      </c>
      <c r="B366" s="69"/>
      <c r="C366" s="70">
        <v>46088</v>
      </c>
      <c r="D366" s="69"/>
      <c r="E366" s="69" t="s">
        <v>15</v>
      </c>
      <c r="F366" s="69"/>
      <c r="G366" s="69" t="s">
        <v>10</v>
      </c>
      <c r="H366" s="71">
        <v>320.20999999999998</v>
      </c>
      <c r="I366" s="72"/>
      <c r="J366" s="72">
        <v>2062.15</v>
      </c>
      <c r="K366" s="72">
        <f t="shared" si="5"/>
        <v>-2062.15</v>
      </c>
      <c r="L366" s="69"/>
      <c r="M366" s="69"/>
      <c r="N366" s="69"/>
    </row>
    <row r="367" spans="1:14" ht="15" customHeight="1" x14ac:dyDescent="0.25">
      <c r="A367" s="68" t="s">
        <v>169</v>
      </c>
      <c r="B367" s="69"/>
      <c r="C367" s="70">
        <v>46088</v>
      </c>
      <c r="D367" s="69"/>
      <c r="E367" s="69" t="s">
        <v>15</v>
      </c>
      <c r="F367" s="69"/>
      <c r="G367" s="69" t="s">
        <v>11</v>
      </c>
      <c r="H367" s="71">
        <v>321.55</v>
      </c>
      <c r="I367" s="72"/>
      <c r="J367" s="72">
        <v>2006.47</v>
      </c>
      <c r="K367" s="72">
        <f t="shared" si="5"/>
        <v>-2006.47</v>
      </c>
      <c r="L367" s="69"/>
      <c r="M367" s="69"/>
      <c r="N367" s="69"/>
    </row>
    <row r="368" spans="1:14" ht="15" customHeight="1" x14ac:dyDescent="0.25">
      <c r="A368" s="68" t="s">
        <v>169</v>
      </c>
      <c r="B368" s="69"/>
      <c r="C368" s="70">
        <v>46088</v>
      </c>
      <c r="D368" s="69"/>
      <c r="E368" s="69" t="s">
        <v>15</v>
      </c>
      <c r="F368" s="69"/>
      <c r="G368" s="69" t="s">
        <v>10</v>
      </c>
      <c r="H368" s="71">
        <v>356.30099999999999</v>
      </c>
      <c r="I368" s="72"/>
      <c r="J368" s="72">
        <v>2294.5700000000002</v>
      </c>
      <c r="K368" s="72">
        <f t="shared" si="5"/>
        <v>-2294.5700000000002</v>
      </c>
      <c r="L368" s="69"/>
      <c r="M368" s="69"/>
      <c r="N368" s="69"/>
    </row>
    <row r="369" spans="1:14" ht="15" customHeight="1" x14ac:dyDescent="0.25">
      <c r="A369" s="68" t="s">
        <v>169</v>
      </c>
      <c r="B369" s="69"/>
      <c r="C369" s="70">
        <v>46087</v>
      </c>
      <c r="D369" s="69"/>
      <c r="E369" s="69" t="s">
        <v>15</v>
      </c>
      <c r="F369" s="69"/>
      <c r="G369" s="69" t="s">
        <v>10</v>
      </c>
      <c r="H369" s="71">
        <v>553.82100000000003</v>
      </c>
      <c r="I369" s="72"/>
      <c r="J369" s="72">
        <v>3400.46</v>
      </c>
      <c r="K369" s="72">
        <f t="shared" si="5"/>
        <v>-3400.46</v>
      </c>
      <c r="L369" s="69"/>
      <c r="M369" s="69"/>
      <c r="N369" s="69"/>
    </row>
    <row r="370" spans="1:14" ht="15" customHeight="1" x14ac:dyDescent="0.25">
      <c r="A370" s="68" t="s">
        <v>169</v>
      </c>
      <c r="B370" s="69"/>
      <c r="C370" s="70">
        <v>46087</v>
      </c>
      <c r="D370" s="69"/>
      <c r="E370" s="69" t="s">
        <v>15</v>
      </c>
      <c r="F370" s="69"/>
      <c r="G370" s="69" t="s">
        <v>12</v>
      </c>
      <c r="H370" s="71">
        <v>38.481000000000002</v>
      </c>
      <c r="I370" s="72"/>
      <c r="J370" s="72">
        <v>261.27999999999997</v>
      </c>
      <c r="K370" s="72">
        <f t="shared" si="5"/>
        <v>-261.27999999999997</v>
      </c>
      <c r="L370" s="69"/>
      <c r="M370" s="69"/>
      <c r="N370" s="69"/>
    </row>
    <row r="371" spans="1:14" ht="15" customHeight="1" x14ac:dyDescent="0.25">
      <c r="A371" s="68" t="s">
        <v>169</v>
      </c>
      <c r="B371" s="69"/>
      <c r="C371" s="70">
        <v>46087</v>
      </c>
      <c r="D371" s="69"/>
      <c r="E371" s="69" t="s">
        <v>15</v>
      </c>
      <c r="F371" s="69"/>
      <c r="G371" s="69" t="s">
        <v>12</v>
      </c>
      <c r="H371" s="71">
        <v>47.25</v>
      </c>
      <c r="I371" s="72"/>
      <c r="J371" s="72">
        <v>320.82</v>
      </c>
      <c r="K371" s="72">
        <f t="shared" si="5"/>
        <v>-320.82</v>
      </c>
      <c r="L371" s="69"/>
      <c r="M371" s="69"/>
      <c r="N371" s="69"/>
    </row>
    <row r="372" spans="1:14" ht="15" customHeight="1" x14ac:dyDescent="0.25">
      <c r="A372" s="68" t="s">
        <v>169</v>
      </c>
      <c r="B372" s="69"/>
      <c r="C372" s="70">
        <v>46086</v>
      </c>
      <c r="D372" s="69"/>
      <c r="E372" s="69" t="s">
        <v>15</v>
      </c>
      <c r="F372" s="69"/>
      <c r="G372" s="69" t="s">
        <v>12</v>
      </c>
      <c r="H372" s="71">
        <v>25</v>
      </c>
      <c r="I372" s="72"/>
      <c r="J372" s="72">
        <v>169.75</v>
      </c>
      <c r="K372" s="72">
        <f t="shared" si="5"/>
        <v>-169.75</v>
      </c>
      <c r="L372" s="69"/>
      <c r="M372" s="69"/>
      <c r="N372" s="69"/>
    </row>
    <row r="373" spans="1:14" ht="15" customHeight="1" x14ac:dyDescent="0.25">
      <c r="A373" s="68" t="s">
        <v>169</v>
      </c>
      <c r="B373" s="69"/>
      <c r="C373" s="70">
        <v>46086</v>
      </c>
      <c r="D373" s="69"/>
      <c r="E373" s="69" t="s">
        <v>15</v>
      </c>
      <c r="F373" s="69"/>
      <c r="G373" s="69" t="s">
        <v>11</v>
      </c>
      <c r="H373" s="71">
        <v>39.140999999999998</v>
      </c>
      <c r="I373" s="72"/>
      <c r="J373" s="72">
        <v>238.36</v>
      </c>
      <c r="K373" s="72">
        <f t="shared" si="5"/>
        <v>-238.36</v>
      </c>
      <c r="L373" s="69"/>
      <c r="M373" s="69"/>
      <c r="N373" s="69"/>
    </row>
    <row r="374" spans="1:14" ht="15" customHeight="1" x14ac:dyDescent="0.25">
      <c r="A374" s="68" t="s">
        <v>169</v>
      </c>
      <c r="B374" s="69"/>
      <c r="C374" s="70">
        <v>46085</v>
      </c>
      <c r="D374" s="69"/>
      <c r="E374" s="69" t="s">
        <v>15</v>
      </c>
      <c r="F374" s="69"/>
      <c r="G374" s="69" t="s">
        <v>10</v>
      </c>
      <c r="H374" s="71">
        <v>330.43099999999998</v>
      </c>
      <c r="I374" s="72"/>
      <c r="J374" s="72">
        <v>1979.28</v>
      </c>
      <c r="K374" s="72">
        <f t="shared" si="5"/>
        <v>-1979.28</v>
      </c>
      <c r="L374" s="69"/>
      <c r="M374" s="69"/>
      <c r="N374" s="69"/>
    </row>
    <row r="375" spans="1:14" ht="15" customHeight="1" x14ac:dyDescent="0.25">
      <c r="A375" s="68" t="s">
        <v>169</v>
      </c>
      <c r="B375" s="69"/>
      <c r="C375" s="70">
        <v>46085</v>
      </c>
      <c r="D375" s="69"/>
      <c r="E375" s="69" t="s">
        <v>15</v>
      </c>
      <c r="F375" s="69"/>
      <c r="G375" s="69" t="s">
        <v>12</v>
      </c>
      <c r="H375" s="71">
        <v>38.229999999999997</v>
      </c>
      <c r="I375" s="72"/>
      <c r="J375" s="72">
        <v>259.58</v>
      </c>
      <c r="K375" s="72">
        <f t="shared" si="5"/>
        <v>-259.58</v>
      </c>
      <c r="L375" s="69"/>
      <c r="M375" s="69"/>
      <c r="N375" s="69"/>
    </row>
    <row r="376" spans="1:14" ht="15" customHeight="1" x14ac:dyDescent="0.25">
      <c r="A376" s="68" t="s">
        <v>169</v>
      </c>
      <c r="B376" s="69"/>
      <c r="C376" s="70">
        <v>46085</v>
      </c>
      <c r="D376" s="69"/>
      <c r="E376" s="69" t="s">
        <v>15</v>
      </c>
      <c r="F376" s="69"/>
      <c r="G376" s="69" t="s">
        <v>12</v>
      </c>
      <c r="H376" s="71">
        <v>16.951000000000001</v>
      </c>
      <c r="I376" s="72"/>
      <c r="J376" s="72">
        <v>115.09</v>
      </c>
      <c r="K376" s="72">
        <f t="shared" si="5"/>
        <v>-115.09</v>
      </c>
      <c r="L376" s="69"/>
      <c r="M376" s="69"/>
      <c r="N376" s="69"/>
    </row>
    <row r="377" spans="1:14" ht="15" customHeight="1" x14ac:dyDescent="0.25">
      <c r="A377" s="68" t="s">
        <v>169</v>
      </c>
      <c r="B377" s="69"/>
      <c r="C377" s="70">
        <v>46085</v>
      </c>
      <c r="D377" s="69"/>
      <c r="E377" s="69" t="s">
        <v>15</v>
      </c>
      <c r="F377" s="69"/>
      <c r="G377" s="69" t="s">
        <v>11</v>
      </c>
      <c r="H377" s="71">
        <v>517.86</v>
      </c>
      <c r="I377" s="72"/>
      <c r="J377" s="72">
        <v>3050.19</v>
      </c>
      <c r="K377" s="72">
        <f t="shared" si="5"/>
        <v>-3050.19</v>
      </c>
      <c r="L377" s="69"/>
      <c r="M377" s="69"/>
      <c r="N377" s="69"/>
    </row>
    <row r="378" spans="1:14" ht="15" customHeight="1" x14ac:dyDescent="0.25">
      <c r="A378" s="68" t="s">
        <v>169</v>
      </c>
      <c r="B378" s="69"/>
      <c r="C378" s="70">
        <v>46084</v>
      </c>
      <c r="D378" s="69"/>
      <c r="E378" s="69" t="s">
        <v>15</v>
      </c>
      <c r="F378" s="69"/>
      <c r="G378" s="69" t="s">
        <v>11</v>
      </c>
      <c r="H378" s="71">
        <v>490.9</v>
      </c>
      <c r="I378" s="72"/>
      <c r="J378" s="72">
        <v>2891.4</v>
      </c>
      <c r="K378" s="72">
        <f t="shared" si="5"/>
        <v>-2891.4</v>
      </c>
      <c r="L378" s="69"/>
      <c r="M378" s="69"/>
      <c r="N378" s="69"/>
    </row>
    <row r="379" spans="1:14" ht="15" customHeight="1" x14ac:dyDescent="0.25">
      <c r="A379" s="68" t="s">
        <v>169</v>
      </c>
      <c r="B379" s="69"/>
      <c r="C379" s="70">
        <v>46084</v>
      </c>
      <c r="D379" s="69"/>
      <c r="E379" s="69" t="s">
        <v>15</v>
      </c>
      <c r="F379" s="69"/>
      <c r="G379" s="69" t="s">
        <v>11</v>
      </c>
      <c r="H379" s="71">
        <v>285.02100000000002</v>
      </c>
      <c r="I379" s="72"/>
      <c r="J379" s="72">
        <v>1678.77</v>
      </c>
      <c r="K379" s="72">
        <f t="shared" si="5"/>
        <v>-1678.77</v>
      </c>
      <c r="L379" s="69"/>
      <c r="M379" s="69"/>
      <c r="N379" s="69"/>
    </row>
    <row r="380" spans="1:14" ht="15" customHeight="1" x14ac:dyDescent="0.25">
      <c r="A380" s="68" t="s">
        <v>169</v>
      </c>
      <c r="B380" s="69"/>
      <c r="C380" s="70">
        <v>46084</v>
      </c>
      <c r="D380" s="69"/>
      <c r="E380" s="69" t="s">
        <v>15</v>
      </c>
      <c r="F380" s="69"/>
      <c r="G380" s="69" t="s">
        <v>11</v>
      </c>
      <c r="H380" s="71">
        <v>330.11099999999999</v>
      </c>
      <c r="I380" s="72"/>
      <c r="J380" s="72">
        <v>1944.35</v>
      </c>
      <c r="K380" s="72">
        <f t="shared" si="5"/>
        <v>-1944.35</v>
      </c>
      <c r="L380" s="69"/>
      <c r="M380" s="69"/>
      <c r="N380" s="69"/>
    </row>
    <row r="381" spans="1:14" ht="15" customHeight="1" x14ac:dyDescent="0.25">
      <c r="A381" s="68" t="s">
        <v>169</v>
      </c>
      <c r="B381" s="69"/>
      <c r="C381" s="70">
        <v>46084</v>
      </c>
      <c r="D381" s="69"/>
      <c r="E381" s="69" t="s">
        <v>15</v>
      </c>
      <c r="F381" s="69"/>
      <c r="G381" s="69" t="s">
        <v>12</v>
      </c>
      <c r="H381" s="71">
        <v>34.409999999999997</v>
      </c>
      <c r="I381" s="72"/>
      <c r="J381" s="72">
        <v>233.64</v>
      </c>
      <c r="K381" s="72">
        <f t="shared" si="5"/>
        <v>-233.64</v>
      </c>
      <c r="L381" s="69"/>
      <c r="M381" s="69"/>
      <c r="N381" s="69"/>
    </row>
    <row r="382" spans="1:14" ht="15" customHeight="1" x14ac:dyDescent="0.25">
      <c r="A382" s="68" t="s">
        <v>169</v>
      </c>
      <c r="B382" s="69"/>
      <c r="C382" s="70">
        <v>46084</v>
      </c>
      <c r="D382" s="69"/>
      <c r="E382" s="69" t="s">
        <v>15</v>
      </c>
      <c r="F382" s="69"/>
      <c r="G382" s="69" t="s">
        <v>12</v>
      </c>
      <c r="H382" s="71">
        <v>43.401000000000003</v>
      </c>
      <c r="I382" s="72"/>
      <c r="J382" s="72">
        <v>294.69</v>
      </c>
      <c r="K382" s="72">
        <f t="shared" si="5"/>
        <v>-294.69</v>
      </c>
      <c r="L382" s="69"/>
      <c r="M382" s="69"/>
      <c r="N382" s="69"/>
    </row>
    <row r="383" spans="1:14" ht="15" customHeight="1" x14ac:dyDescent="0.25">
      <c r="A383" s="68" t="s">
        <v>169</v>
      </c>
      <c r="B383" s="69"/>
      <c r="C383" s="70">
        <v>46083</v>
      </c>
      <c r="D383" s="69"/>
      <c r="E383" s="69" t="s">
        <v>15</v>
      </c>
      <c r="F383" s="69"/>
      <c r="G383" s="69" t="s">
        <v>11</v>
      </c>
      <c r="H383" s="71">
        <v>414.44099999999997</v>
      </c>
      <c r="I383" s="72"/>
      <c r="J383" s="72">
        <v>2441.0500000000002</v>
      </c>
      <c r="K383" s="72">
        <f t="shared" si="5"/>
        <v>-2441.0500000000002</v>
      </c>
      <c r="L383" s="69"/>
      <c r="M383" s="69"/>
      <c r="N383" s="69"/>
    </row>
    <row r="384" spans="1:14" ht="15" customHeight="1" x14ac:dyDescent="0.25">
      <c r="A384" s="68" t="s">
        <v>169</v>
      </c>
      <c r="B384" s="69"/>
      <c r="C384" s="70">
        <v>46083</v>
      </c>
      <c r="D384" s="69"/>
      <c r="E384" s="69" t="s">
        <v>15</v>
      </c>
      <c r="F384" s="69"/>
      <c r="G384" s="69" t="s">
        <v>12</v>
      </c>
      <c r="H384" s="71">
        <v>52.311</v>
      </c>
      <c r="I384" s="72"/>
      <c r="J384" s="72">
        <v>355.19</v>
      </c>
      <c r="K384" s="72">
        <f t="shared" si="5"/>
        <v>-355.19</v>
      </c>
      <c r="L384" s="69"/>
      <c r="M384" s="69"/>
      <c r="N384" s="69"/>
    </row>
    <row r="385" spans="1:14" ht="15" customHeight="1" x14ac:dyDescent="0.25">
      <c r="A385" s="68" t="s">
        <v>169</v>
      </c>
      <c r="B385" s="69"/>
      <c r="C385" s="70">
        <v>46081</v>
      </c>
      <c r="D385" s="69"/>
      <c r="E385" s="69" t="s">
        <v>15</v>
      </c>
      <c r="F385" s="69"/>
      <c r="G385" s="69" t="s">
        <v>11</v>
      </c>
      <c r="H385" s="71">
        <v>281.81</v>
      </c>
      <c r="I385" s="72"/>
      <c r="J385" s="72">
        <v>1659.86</v>
      </c>
      <c r="K385" s="72">
        <f t="shared" si="5"/>
        <v>-1659.86</v>
      </c>
      <c r="L385" s="69"/>
      <c r="M385" s="69"/>
      <c r="N385" s="69"/>
    </row>
    <row r="386" spans="1:14" ht="15" customHeight="1" x14ac:dyDescent="0.25">
      <c r="A386" s="68" t="s">
        <v>169</v>
      </c>
      <c r="B386" s="69"/>
      <c r="C386" s="70">
        <v>46081</v>
      </c>
      <c r="D386" s="69"/>
      <c r="E386" s="69" t="s">
        <v>15</v>
      </c>
      <c r="F386" s="69"/>
      <c r="G386" s="69" t="s">
        <v>6</v>
      </c>
      <c r="H386" s="71">
        <v>20.440000000000001</v>
      </c>
      <c r="I386" s="72"/>
      <c r="J386" s="72">
        <v>64.209999999999994</v>
      </c>
      <c r="K386" s="72">
        <f t="shared" si="5"/>
        <v>-64.209999999999994</v>
      </c>
      <c r="L386" s="69"/>
      <c r="M386" s="69"/>
      <c r="N386" s="69"/>
    </row>
    <row r="387" spans="1:14" ht="15" customHeight="1" x14ac:dyDescent="0.25">
      <c r="A387" s="68" t="s">
        <v>169</v>
      </c>
      <c r="B387" s="69"/>
      <c r="C387" s="70">
        <v>46081</v>
      </c>
      <c r="D387" s="69"/>
      <c r="E387" s="69" t="s">
        <v>15</v>
      </c>
      <c r="F387" s="69"/>
      <c r="G387" s="69" t="s">
        <v>10</v>
      </c>
      <c r="H387" s="71">
        <v>384.56</v>
      </c>
      <c r="I387" s="72"/>
      <c r="J387" s="72">
        <v>2303.5100000000002</v>
      </c>
      <c r="K387" s="72">
        <f t="shared" si="5"/>
        <v>-2303.5100000000002</v>
      </c>
      <c r="L387" s="69"/>
      <c r="M387" s="69"/>
      <c r="N387" s="69"/>
    </row>
    <row r="388" spans="1:14" ht="15" customHeight="1" x14ac:dyDescent="0.25">
      <c r="A388" s="68" t="s">
        <v>169</v>
      </c>
      <c r="B388" s="69"/>
      <c r="C388" s="70">
        <v>46081</v>
      </c>
      <c r="D388" s="69"/>
      <c r="E388" s="69" t="s">
        <v>15</v>
      </c>
      <c r="F388" s="69"/>
      <c r="G388" s="69" t="s">
        <v>6</v>
      </c>
      <c r="H388" s="71">
        <v>25.28</v>
      </c>
      <c r="I388" s="72"/>
      <c r="J388" s="72">
        <v>79.41</v>
      </c>
      <c r="K388" s="72">
        <f t="shared" si="5"/>
        <v>-79.41</v>
      </c>
      <c r="L388" s="69"/>
      <c r="M388" s="69"/>
      <c r="N388" s="69"/>
    </row>
    <row r="389" spans="1:14" ht="15" customHeight="1" x14ac:dyDescent="0.25">
      <c r="A389" s="68" t="s">
        <v>169</v>
      </c>
      <c r="B389" s="69"/>
      <c r="C389" s="70">
        <v>46081</v>
      </c>
      <c r="D389" s="69"/>
      <c r="E389" s="69" t="s">
        <v>15</v>
      </c>
      <c r="F389" s="69"/>
      <c r="G389" s="69" t="s">
        <v>10</v>
      </c>
      <c r="H389" s="71">
        <v>518.61</v>
      </c>
      <c r="I389" s="72"/>
      <c r="J389" s="72">
        <v>3106.47</v>
      </c>
      <c r="K389" s="72">
        <f t="shared" ref="K389:K452" si="6">IFERROR(I389-J389,"")</f>
        <v>-3106.47</v>
      </c>
      <c r="L389" s="69"/>
      <c r="M389" s="69"/>
      <c r="N389" s="69"/>
    </row>
    <row r="390" spans="1:14" ht="15" customHeight="1" x14ac:dyDescent="0.25">
      <c r="A390" s="68" t="s">
        <v>169</v>
      </c>
      <c r="B390" s="69"/>
      <c r="C390" s="70">
        <v>46081</v>
      </c>
      <c r="D390" s="69"/>
      <c r="E390" s="69" t="s">
        <v>15</v>
      </c>
      <c r="F390" s="69"/>
      <c r="G390" s="69" t="s">
        <v>6</v>
      </c>
      <c r="H390" s="71">
        <v>3.15</v>
      </c>
      <c r="I390" s="72"/>
      <c r="J390" s="72">
        <v>9.89</v>
      </c>
      <c r="K390" s="72">
        <f t="shared" si="6"/>
        <v>-9.89</v>
      </c>
      <c r="L390" s="69"/>
      <c r="M390" s="69"/>
      <c r="N390" s="69"/>
    </row>
    <row r="391" spans="1:14" ht="15" customHeight="1" x14ac:dyDescent="0.25">
      <c r="A391" s="68" t="s">
        <v>169</v>
      </c>
      <c r="B391" s="69"/>
      <c r="C391" s="70">
        <v>46081</v>
      </c>
      <c r="D391" s="69"/>
      <c r="E391" s="69" t="s">
        <v>15</v>
      </c>
      <c r="F391" s="69"/>
      <c r="G391" s="69" t="s">
        <v>10</v>
      </c>
      <c r="H391" s="71">
        <v>218.291</v>
      </c>
      <c r="I391" s="72"/>
      <c r="J391" s="72">
        <v>1307.56</v>
      </c>
      <c r="K391" s="72">
        <f t="shared" si="6"/>
        <v>-1307.56</v>
      </c>
      <c r="L391" s="69"/>
      <c r="M391" s="69"/>
      <c r="N391" s="69"/>
    </row>
    <row r="392" spans="1:14" ht="15" customHeight="1" x14ac:dyDescent="0.25">
      <c r="A392" s="68" t="s">
        <v>169</v>
      </c>
      <c r="B392" s="69"/>
      <c r="C392" s="70">
        <v>46080</v>
      </c>
      <c r="D392" s="69"/>
      <c r="E392" s="69" t="s">
        <v>15</v>
      </c>
      <c r="F392" s="69"/>
      <c r="G392" s="69" t="s">
        <v>6</v>
      </c>
      <c r="H392" s="71">
        <v>31.83</v>
      </c>
      <c r="I392" s="72"/>
      <c r="J392" s="72">
        <v>99.98</v>
      </c>
      <c r="K392" s="72">
        <f t="shared" si="6"/>
        <v>-99.98</v>
      </c>
      <c r="L392" s="69"/>
      <c r="M392" s="69"/>
      <c r="N392" s="69"/>
    </row>
    <row r="393" spans="1:14" ht="15" customHeight="1" x14ac:dyDescent="0.25">
      <c r="A393" s="68" t="s">
        <v>169</v>
      </c>
      <c r="B393" s="69"/>
      <c r="C393" s="70">
        <v>46080</v>
      </c>
      <c r="D393" s="69"/>
      <c r="E393" s="69" t="s">
        <v>15</v>
      </c>
      <c r="F393" s="69"/>
      <c r="G393" s="69" t="s">
        <v>10</v>
      </c>
      <c r="H393" s="71">
        <v>492.86099999999999</v>
      </c>
      <c r="I393" s="72"/>
      <c r="J393" s="72">
        <v>2952.23</v>
      </c>
      <c r="K393" s="72">
        <f t="shared" si="6"/>
        <v>-2952.23</v>
      </c>
      <c r="L393" s="69"/>
      <c r="M393" s="69"/>
      <c r="N393" s="69"/>
    </row>
    <row r="394" spans="1:14" ht="15" customHeight="1" x14ac:dyDescent="0.25">
      <c r="A394" s="68" t="s">
        <v>169</v>
      </c>
      <c r="B394" s="69"/>
      <c r="C394" s="70">
        <v>46080</v>
      </c>
      <c r="D394" s="69"/>
      <c r="E394" s="69" t="s">
        <v>15</v>
      </c>
      <c r="F394" s="69"/>
      <c r="G394" s="69" t="s">
        <v>6</v>
      </c>
      <c r="H394" s="71">
        <v>10.27</v>
      </c>
      <c r="I394" s="72"/>
      <c r="J394" s="72">
        <v>32.26</v>
      </c>
      <c r="K394" s="72">
        <f t="shared" si="6"/>
        <v>-32.26</v>
      </c>
      <c r="L394" s="69"/>
      <c r="M394" s="69"/>
      <c r="N394" s="69"/>
    </row>
    <row r="395" spans="1:14" ht="15" customHeight="1" x14ac:dyDescent="0.25">
      <c r="A395" s="68" t="s">
        <v>169</v>
      </c>
      <c r="B395" s="69"/>
      <c r="C395" s="70">
        <v>46080</v>
      </c>
      <c r="D395" s="69"/>
      <c r="E395" s="69" t="s">
        <v>15</v>
      </c>
      <c r="F395" s="69"/>
      <c r="G395" s="69" t="s">
        <v>10</v>
      </c>
      <c r="H395" s="71">
        <v>252.191</v>
      </c>
      <c r="I395" s="72"/>
      <c r="J395" s="72">
        <v>1510.62</v>
      </c>
      <c r="K395" s="72">
        <f t="shared" si="6"/>
        <v>-1510.62</v>
      </c>
      <c r="L395" s="69"/>
      <c r="M395" s="69"/>
      <c r="N395" s="69"/>
    </row>
    <row r="396" spans="1:14" ht="15" customHeight="1" x14ac:dyDescent="0.25">
      <c r="A396" s="68" t="s">
        <v>169</v>
      </c>
      <c r="B396" s="69"/>
      <c r="C396" s="70">
        <v>46080</v>
      </c>
      <c r="D396" s="69"/>
      <c r="E396" s="69" t="s">
        <v>15</v>
      </c>
      <c r="F396" s="69"/>
      <c r="G396" s="69" t="s">
        <v>10</v>
      </c>
      <c r="H396" s="71">
        <v>492</v>
      </c>
      <c r="I396" s="72"/>
      <c r="J396" s="72">
        <v>2947.08</v>
      </c>
      <c r="K396" s="72">
        <f t="shared" si="6"/>
        <v>-2947.08</v>
      </c>
      <c r="L396" s="69"/>
      <c r="M396" s="69"/>
      <c r="N396" s="69"/>
    </row>
    <row r="397" spans="1:14" ht="15" customHeight="1" x14ac:dyDescent="0.25">
      <c r="A397" s="68" t="s">
        <v>169</v>
      </c>
      <c r="B397" s="69"/>
      <c r="C397" s="70">
        <v>46080</v>
      </c>
      <c r="D397" s="69"/>
      <c r="E397" s="69" t="s">
        <v>15</v>
      </c>
      <c r="F397" s="69"/>
      <c r="G397" s="69" t="s">
        <v>10</v>
      </c>
      <c r="H397" s="71">
        <v>209.28100000000001</v>
      </c>
      <c r="I397" s="72"/>
      <c r="J397" s="72">
        <v>1253.5899999999999</v>
      </c>
      <c r="K397" s="72">
        <f t="shared" si="6"/>
        <v>-1253.5899999999999</v>
      </c>
      <c r="L397" s="69"/>
      <c r="M397" s="69"/>
      <c r="N397" s="69"/>
    </row>
    <row r="398" spans="1:14" ht="15" customHeight="1" x14ac:dyDescent="0.25">
      <c r="A398" s="68" t="s">
        <v>169</v>
      </c>
      <c r="B398" s="69"/>
      <c r="C398" s="70">
        <v>46079</v>
      </c>
      <c r="D398" s="69"/>
      <c r="E398" s="69" t="s">
        <v>15</v>
      </c>
      <c r="F398" s="69"/>
      <c r="G398" s="69" t="s">
        <v>11</v>
      </c>
      <c r="H398" s="71">
        <v>261.42099999999999</v>
      </c>
      <c r="I398" s="72"/>
      <c r="J398" s="72">
        <v>1539.76</v>
      </c>
      <c r="K398" s="72">
        <f t="shared" si="6"/>
        <v>-1539.76</v>
      </c>
      <c r="L398" s="69"/>
      <c r="M398" s="69"/>
      <c r="N398" s="69"/>
    </row>
    <row r="399" spans="1:14" ht="15" customHeight="1" x14ac:dyDescent="0.25">
      <c r="A399" s="68" t="s">
        <v>169</v>
      </c>
      <c r="B399" s="69"/>
      <c r="C399" s="70">
        <v>46079</v>
      </c>
      <c r="D399" s="69"/>
      <c r="E399" s="69" t="s">
        <v>15</v>
      </c>
      <c r="F399" s="69"/>
      <c r="G399" s="69" t="s">
        <v>10</v>
      </c>
      <c r="H399" s="71">
        <v>458.28100000000001</v>
      </c>
      <c r="I399" s="72"/>
      <c r="J399" s="72">
        <v>2745.1</v>
      </c>
      <c r="K399" s="72">
        <f t="shared" si="6"/>
        <v>-2745.1</v>
      </c>
      <c r="L399" s="69"/>
      <c r="M399" s="69"/>
      <c r="N399" s="69"/>
    </row>
    <row r="400" spans="1:14" ht="15" customHeight="1" x14ac:dyDescent="0.25">
      <c r="A400" s="68" t="s">
        <v>169</v>
      </c>
      <c r="B400" s="69"/>
      <c r="C400" s="70">
        <v>46078</v>
      </c>
      <c r="D400" s="69"/>
      <c r="E400" s="69" t="s">
        <v>15</v>
      </c>
      <c r="F400" s="69"/>
      <c r="G400" s="69" t="s">
        <v>10</v>
      </c>
      <c r="H400" s="71">
        <v>115.871</v>
      </c>
      <c r="I400" s="72"/>
      <c r="J400" s="72">
        <v>694.06</v>
      </c>
      <c r="K400" s="72">
        <f t="shared" si="6"/>
        <v>-694.06</v>
      </c>
      <c r="L400" s="69"/>
      <c r="M400" s="69"/>
      <c r="N400" s="69"/>
    </row>
    <row r="401" spans="1:14" ht="15" customHeight="1" x14ac:dyDescent="0.25">
      <c r="A401" s="68" t="s">
        <v>169</v>
      </c>
      <c r="B401" s="69"/>
      <c r="C401" s="70">
        <v>46078</v>
      </c>
      <c r="D401" s="69"/>
      <c r="E401" s="69" t="s">
        <v>15</v>
      </c>
      <c r="F401" s="69"/>
      <c r="G401" s="69" t="s">
        <v>6</v>
      </c>
      <c r="H401" s="71">
        <v>18.559999999999999</v>
      </c>
      <c r="I401" s="72"/>
      <c r="J401" s="72">
        <v>58.29</v>
      </c>
      <c r="K401" s="72">
        <f t="shared" si="6"/>
        <v>-58.29</v>
      </c>
      <c r="L401" s="69"/>
      <c r="M401" s="69"/>
      <c r="N401" s="69"/>
    </row>
    <row r="402" spans="1:14" ht="15" customHeight="1" x14ac:dyDescent="0.25">
      <c r="A402" s="68" t="s">
        <v>169</v>
      </c>
      <c r="B402" s="69"/>
      <c r="C402" s="70">
        <v>46078</v>
      </c>
      <c r="D402" s="69"/>
      <c r="E402" s="69" t="s">
        <v>15</v>
      </c>
      <c r="F402" s="69"/>
      <c r="G402" s="69" t="s">
        <v>9</v>
      </c>
      <c r="H402" s="71">
        <v>60.210999999999999</v>
      </c>
      <c r="I402" s="72"/>
      <c r="J402" s="72">
        <v>354.64</v>
      </c>
      <c r="K402" s="72">
        <f t="shared" si="6"/>
        <v>-354.64</v>
      </c>
      <c r="L402" s="69"/>
      <c r="M402" s="69"/>
      <c r="N402" s="69"/>
    </row>
    <row r="403" spans="1:14" ht="15" customHeight="1" x14ac:dyDescent="0.25">
      <c r="A403" s="68" t="s">
        <v>169</v>
      </c>
      <c r="B403" s="69"/>
      <c r="C403" s="70">
        <v>46078</v>
      </c>
      <c r="D403" s="69"/>
      <c r="E403" s="69" t="s">
        <v>15</v>
      </c>
      <c r="F403" s="69"/>
      <c r="G403" s="69" t="s">
        <v>12</v>
      </c>
      <c r="H403" s="71">
        <v>47.831000000000003</v>
      </c>
      <c r="I403" s="72"/>
      <c r="J403" s="72">
        <v>324.77</v>
      </c>
      <c r="K403" s="72">
        <f t="shared" si="6"/>
        <v>-324.77</v>
      </c>
      <c r="L403" s="69"/>
      <c r="M403" s="69"/>
      <c r="N403" s="69"/>
    </row>
    <row r="404" spans="1:14" ht="15" customHeight="1" x14ac:dyDescent="0.25">
      <c r="A404" s="68" t="s">
        <v>169</v>
      </c>
      <c r="B404" s="69"/>
      <c r="C404" s="70">
        <v>46078</v>
      </c>
      <c r="D404" s="69"/>
      <c r="E404" s="69" t="s">
        <v>15</v>
      </c>
      <c r="F404" s="69"/>
      <c r="G404" s="69" t="s">
        <v>10</v>
      </c>
      <c r="H404" s="71">
        <v>237.12</v>
      </c>
      <c r="I404" s="72"/>
      <c r="J404" s="72">
        <v>1420.34</v>
      </c>
      <c r="K404" s="72">
        <f t="shared" si="6"/>
        <v>-1420.34</v>
      </c>
      <c r="L404" s="69"/>
      <c r="M404" s="69"/>
      <c r="N404" s="69"/>
    </row>
    <row r="405" spans="1:14" ht="15" customHeight="1" x14ac:dyDescent="0.25">
      <c r="A405" s="68" t="s">
        <v>169</v>
      </c>
      <c r="B405" s="69"/>
      <c r="C405" s="70">
        <v>46077</v>
      </c>
      <c r="D405" s="69"/>
      <c r="E405" s="69" t="s">
        <v>15</v>
      </c>
      <c r="F405" s="69"/>
      <c r="G405" s="69" t="s">
        <v>10</v>
      </c>
      <c r="H405" s="71">
        <v>302.33999999999997</v>
      </c>
      <c r="I405" s="72"/>
      <c r="J405" s="72">
        <v>1811.01</v>
      </c>
      <c r="K405" s="72">
        <f t="shared" si="6"/>
        <v>-1811.01</v>
      </c>
      <c r="L405" s="69"/>
      <c r="M405" s="69"/>
      <c r="N405" s="69"/>
    </row>
    <row r="406" spans="1:14" ht="15" customHeight="1" x14ac:dyDescent="0.25">
      <c r="A406" s="68" t="s">
        <v>169</v>
      </c>
      <c r="B406" s="69"/>
      <c r="C406" s="70">
        <v>46077</v>
      </c>
      <c r="D406" s="69"/>
      <c r="E406" s="69" t="s">
        <v>15</v>
      </c>
      <c r="F406" s="69"/>
      <c r="G406" s="69" t="s">
        <v>12</v>
      </c>
      <c r="H406" s="71">
        <v>42.18</v>
      </c>
      <c r="I406" s="72"/>
      <c r="J406" s="72">
        <v>286.39999999999998</v>
      </c>
      <c r="K406" s="72">
        <f t="shared" si="6"/>
        <v>-286.39999999999998</v>
      </c>
      <c r="L406" s="69"/>
      <c r="M406" s="69"/>
      <c r="N406" s="69"/>
    </row>
    <row r="407" spans="1:14" ht="15" customHeight="1" x14ac:dyDescent="0.25">
      <c r="A407" s="68" t="s">
        <v>169</v>
      </c>
      <c r="B407" s="69"/>
      <c r="C407" s="70">
        <v>46077</v>
      </c>
      <c r="D407" s="69"/>
      <c r="E407" s="69" t="s">
        <v>15</v>
      </c>
      <c r="F407" s="69"/>
      <c r="G407" s="69" t="s">
        <v>12</v>
      </c>
      <c r="H407" s="71">
        <v>35.460999999999999</v>
      </c>
      <c r="I407" s="72"/>
      <c r="J407" s="72">
        <v>240.78</v>
      </c>
      <c r="K407" s="72">
        <f t="shared" si="6"/>
        <v>-240.78</v>
      </c>
      <c r="L407" s="69"/>
      <c r="M407" s="69"/>
      <c r="N407" s="69"/>
    </row>
    <row r="408" spans="1:14" ht="15" customHeight="1" x14ac:dyDescent="0.25">
      <c r="A408" s="68" t="s">
        <v>169</v>
      </c>
      <c r="B408" s="69"/>
      <c r="C408" s="70">
        <v>46074</v>
      </c>
      <c r="D408" s="69"/>
      <c r="E408" s="69" t="s">
        <v>15</v>
      </c>
      <c r="F408" s="69"/>
      <c r="G408" s="69" t="s">
        <v>10</v>
      </c>
      <c r="H408" s="71">
        <v>420.53100000000001</v>
      </c>
      <c r="I408" s="72"/>
      <c r="J408" s="72">
        <v>2518.98</v>
      </c>
      <c r="K408" s="72">
        <f t="shared" si="6"/>
        <v>-2518.98</v>
      </c>
      <c r="L408" s="69"/>
      <c r="M408" s="69"/>
      <c r="N408" s="69"/>
    </row>
    <row r="409" spans="1:14" ht="15" customHeight="1" x14ac:dyDescent="0.25">
      <c r="A409" s="68" t="s">
        <v>169</v>
      </c>
      <c r="B409" s="69"/>
      <c r="C409" s="70">
        <v>46074</v>
      </c>
      <c r="D409" s="69"/>
      <c r="E409" s="69" t="s">
        <v>15</v>
      </c>
      <c r="F409" s="69"/>
      <c r="G409" s="69" t="s">
        <v>10</v>
      </c>
      <c r="H409" s="71">
        <v>205.23</v>
      </c>
      <c r="I409" s="72"/>
      <c r="J409" s="72">
        <v>1229.32</v>
      </c>
      <c r="K409" s="72">
        <f t="shared" si="6"/>
        <v>-1229.32</v>
      </c>
      <c r="L409" s="69"/>
      <c r="M409" s="69"/>
      <c r="N409" s="69"/>
    </row>
    <row r="410" spans="1:14" ht="15" customHeight="1" x14ac:dyDescent="0.25">
      <c r="A410" s="68" t="s">
        <v>169</v>
      </c>
      <c r="B410" s="69"/>
      <c r="C410" s="70">
        <v>46073</v>
      </c>
      <c r="D410" s="69"/>
      <c r="E410" s="69" t="s">
        <v>15</v>
      </c>
      <c r="F410" s="69"/>
      <c r="G410" s="69" t="s">
        <v>12</v>
      </c>
      <c r="H410" s="71">
        <v>36.36</v>
      </c>
      <c r="I410" s="72"/>
      <c r="J410" s="72">
        <v>246.88</v>
      </c>
      <c r="K410" s="72">
        <f t="shared" si="6"/>
        <v>-246.88</v>
      </c>
      <c r="L410" s="69"/>
      <c r="M410" s="69"/>
      <c r="N410" s="69"/>
    </row>
    <row r="411" spans="1:14" ht="15" customHeight="1" x14ac:dyDescent="0.25">
      <c r="A411" s="68" t="s">
        <v>169</v>
      </c>
      <c r="B411" s="69"/>
      <c r="C411" s="70">
        <v>46073</v>
      </c>
      <c r="D411" s="69"/>
      <c r="E411" s="69" t="s">
        <v>15</v>
      </c>
      <c r="F411" s="69"/>
      <c r="G411" s="69" t="s">
        <v>10</v>
      </c>
      <c r="H411" s="71">
        <v>295.27</v>
      </c>
      <c r="I411" s="72"/>
      <c r="J411" s="72">
        <v>1768.66</v>
      </c>
      <c r="K411" s="72">
        <f t="shared" si="6"/>
        <v>-1768.66</v>
      </c>
      <c r="L411" s="69"/>
      <c r="M411" s="69"/>
      <c r="N411" s="69"/>
    </row>
    <row r="412" spans="1:14" ht="15" customHeight="1" x14ac:dyDescent="0.25">
      <c r="A412" s="68" t="s">
        <v>169</v>
      </c>
      <c r="B412" s="69"/>
      <c r="C412" s="70">
        <v>46072</v>
      </c>
      <c r="D412" s="69"/>
      <c r="E412" s="69" t="s">
        <v>23</v>
      </c>
      <c r="F412" s="69"/>
      <c r="G412" s="69" t="s">
        <v>10</v>
      </c>
      <c r="H412" s="71">
        <v>200</v>
      </c>
      <c r="I412" s="72"/>
      <c r="J412" s="72">
        <v>1144</v>
      </c>
      <c r="K412" s="72">
        <f t="shared" si="6"/>
        <v>-1144</v>
      </c>
      <c r="L412" s="69"/>
      <c r="M412" s="69"/>
      <c r="N412" s="69"/>
    </row>
    <row r="413" spans="1:14" ht="15" customHeight="1" x14ac:dyDescent="0.25">
      <c r="A413" s="68" t="s">
        <v>169</v>
      </c>
      <c r="B413" s="69"/>
      <c r="C413" s="70">
        <v>46071</v>
      </c>
      <c r="D413" s="69"/>
      <c r="E413" s="69" t="s">
        <v>15</v>
      </c>
      <c r="F413" s="69"/>
      <c r="G413" s="69" t="s">
        <v>12</v>
      </c>
      <c r="H413" s="71">
        <v>41.761000000000003</v>
      </c>
      <c r="I413" s="72"/>
      <c r="J413" s="72">
        <v>283.55</v>
      </c>
      <c r="K413" s="72">
        <f t="shared" si="6"/>
        <v>-283.55</v>
      </c>
      <c r="L413" s="69"/>
      <c r="M413" s="69"/>
      <c r="N413" s="69"/>
    </row>
    <row r="414" spans="1:14" ht="15" customHeight="1" x14ac:dyDescent="0.25">
      <c r="A414" s="68" t="s">
        <v>169</v>
      </c>
      <c r="B414" s="69"/>
      <c r="C414" s="70">
        <v>46071</v>
      </c>
      <c r="D414" s="69"/>
      <c r="E414" s="69" t="s">
        <v>15</v>
      </c>
      <c r="F414" s="69"/>
      <c r="G414" s="69" t="s">
        <v>10</v>
      </c>
      <c r="H414" s="71">
        <v>273.93</v>
      </c>
      <c r="I414" s="72"/>
      <c r="J414" s="72">
        <v>1640.84</v>
      </c>
      <c r="K414" s="72">
        <f t="shared" si="6"/>
        <v>-1640.84</v>
      </c>
      <c r="L414" s="69"/>
      <c r="M414" s="69"/>
      <c r="N414" s="69"/>
    </row>
    <row r="415" spans="1:14" ht="15" customHeight="1" x14ac:dyDescent="0.25">
      <c r="A415" s="68" t="s">
        <v>169</v>
      </c>
      <c r="B415" s="69"/>
      <c r="C415" s="70">
        <v>46071</v>
      </c>
      <c r="D415" s="69"/>
      <c r="E415" s="69" t="s">
        <v>15</v>
      </c>
      <c r="F415" s="69"/>
      <c r="G415" s="69" t="s">
        <v>12</v>
      </c>
      <c r="H415" s="71">
        <v>48.481000000000002</v>
      </c>
      <c r="I415" s="72"/>
      <c r="J415" s="72">
        <v>329.18</v>
      </c>
      <c r="K415" s="72">
        <f t="shared" si="6"/>
        <v>-329.18</v>
      </c>
      <c r="L415" s="69"/>
      <c r="M415" s="69"/>
      <c r="N415" s="69"/>
    </row>
    <row r="416" spans="1:14" ht="15" customHeight="1" x14ac:dyDescent="0.25">
      <c r="A416" s="68" t="s">
        <v>169</v>
      </c>
      <c r="B416" s="69"/>
      <c r="C416" s="70">
        <v>46069</v>
      </c>
      <c r="D416" s="69"/>
      <c r="E416" s="69" t="s">
        <v>15</v>
      </c>
      <c r="F416" s="69"/>
      <c r="G416" s="69" t="s">
        <v>10</v>
      </c>
      <c r="H416" s="71">
        <v>217.49</v>
      </c>
      <c r="I416" s="72"/>
      <c r="J416" s="72">
        <v>1302.76</v>
      </c>
      <c r="K416" s="72">
        <f t="shared" si="6"/>
        <v>-1302.76</v>
      </c>
      <c r="L416" s="69"/>
      <c r="M416" s="69"/>
      <c r="N416" s="69"/>
    </row>
    <row r="417" spans="1:14" ht="15" customHeight="1" x14ac:dyDescent="0.25">
      <c r="A417" s="68" t="s">
        <v>169</v>
      </c>
      <c r="B417" s="69"/>
      <c r="C417" s="70">
        <v>46067</v>
      </c>
      <c r="D417" s="69"/>
      <c r="E417" s="69" t="s">
        <v>15</v>
      </c>
      <c r="F417" s="69"/>
      <c r="G417" s="69" t="s">
        <v>10</v>
      </c>
      <c r="H417" s="71">
        <v>326.91000000000003</v>
      </c>
      <c r="I417" s="72"/>
      <c r="J417" s="72">
        <v>1958.19</v>
      </c>
      <c r="K417" s="72">
        <f t="shared" si="6"/>
        <v>-1958.19</v>
      </c>
      <c r="L417" s="69"/>
      <c r="M417" s="69"/>
      <c r="N417" s="69"/>
    </row>
    <row r="418" spans="1:14" ht="15" customHeight="1" x14ac:dyDescent="0.25">
      <c r="A418" s="68" t="s">
        <v>169</v>
      </c>
      <c r="B418" s="69"/>
      <c r="C418" s="70">
        <v>46067</v>
      </c>
      <c r="D418" s="69"/>
      <c r="E418" s="69" t="s">
        <v>15</v>
      </c>
      <c r="F418" s="69"/>
      <c r="G418" s="69" t="s">
        <v>11</v>
      </c>
      <c r="H418" s="71">
        <v>359.75</v>
      </c>
      <c r="I418" s="72"/>
      <c r="J418" s="72">
        <v>2118.92</v>
      </c>
      <c r="K418" s="72">
        <f t="shared" si="6"/>
        <v>-2118.92</v>
      </c>
      <c r="L418" s="69"/>
      <c r="M418" s="69"/>
      <c r="N418" s="69"/>
    </row>
    <row r="419" spans="1:14" ht="15" customHeight="1" x14ac:dyDescent="0.25">
      <c r="A419" s="68" t="s">
        <v>169</v>
      </c>
      <c r="B419" s="69"/>
      <c r="C419" s="70">
        <v>46066</v>
      </c>
      <c r="D419" s="69"/>
      <c r="E419" s="69" t="s">
        <v>15</v>
      </c>
      <c r="F419" s="69"/>
      <c r="G419" s="69" t="s">
        <v>12</v>
      </c>
      <c r="H419" s="71">
        <v>43.131</v>
      </c>
      <c r="I419" s="72"/>
      <c r="J419" s="72">
        <v>292.85000000000002</v>
      </c>
      <c r="K419" s="72">
        <f t="shared" si="6"/>
        <v>-292.85000000000002</v>
      </c>
      <c r="L419" s="69"/>
      <c r="M419" s="69"/>
      <c r="N419" s="69"/>
    </row>
    <row r="420" spans="1:14" ht="15" customHeight="1" x14ac:dyDescent="0.25">
      <c r="A420" s="68" t="s">
        <v>169</v>
      </c>
      <c r="B420" s="69"/>
      <c r="C420" s="70">
        <v>46066</v>
      </c>
      <c r="D420" s="69"/>
      <c r="E420" s="69" t="s">
        <v>15</v>
      </c>
      <c r="F420" s="69"/>
      <c r="G420" s="69" t="s">
        <v>11</v>
      </c>
      <c r="H420" s="71">
        <v>333.59</v>
      </c>
      <c r="I420" s="72"/>
      <c r="J420" s="72">
        <v>1964.84</v>
      </c>
      <c r="K420" s="72">
        <f t="shared" si="6"/>
        <v>-1964.84</v>
      </c>
      <c r="L420" s="69"/>
      <c r="M420" s="69"/>
      <c r="N420" s="69"/>
    </row>
    <row r="421" spans="1:14" ht="15" customHeight="1" x14ac:dyDescent="0.25">
      <c r="A421" s="68" t="s">
        <v>169</v>
      </c>
      <c r="B421" s="69"/>
      <c r="C421" s="70">
        <v>46065</v>
      </c>
      <c r="D421" s="69"/>
      <c r="E421" s="69" t="s">
        <v>15</v>
      </c>
      <c r="F421" s="69"/>
      <c r="G421" s="69" t="s">
        <v>10</v>
      </c>
      <c r="H421" s="71">
        <v>302</v>
      </c>
      <c r="I421" s="72"/>
      <c r="J421" s="72">
        <v>1808.98</v>
      </c>
      <c r="K421" s="72">
        <f t="shared" si="6"/>
        <v>-1808.98</v>
      </c>
      <c r="L421" s="69"/>
      <c r="M421" s="69"/>
      <c r="N421" s="69"/>
    </row>
    <row r="422" spans="1:14" ht="15" customHeight="1" x14ac:dyDescent="0.25">
      <c r="A422" s="68" t="s">
        <v>169</v>
      </c>
      <c r="B422" s="69"/>
      <c r="C422" s="70">
        <v>46065</v>
      </c>
      <c r="D422" s="69"/>
      <c r="E422" s="69" t="s">
        <v>15</v>
      </c>
      <c r="F422" s="69"/>
      <c r="G422" s="69" t="s">
        <v>11</v>
      </c>
      <c r="H422" s="71">
        <v>252.97</v>
      </c>
      <c r="I422" s="72"/>
      <c r="J422" s="72">
        <v>1489.99</v>
      </c>
      <c r="K422" s="72">
        <f t="shared" si="6"/>
        <v>-1489.99</v>
      </c>
      <c r="L422" s="69"/>
      <c r="M422" s="69"/>
      <c r="N422" s="69"/>
    </row>
    <row r="423" spans="1:14" ht="15" customHeight="1" x14ac:dyDescent="0.25">
      <c r="A423" s="68" t="s">
        <v>169</v>
      </c>
      <c r="B423" s="69"/>
      <c r="C423" s="70">
        <v>46064</v>
      </c>
      <c r="D423" s="69"/>
      <c r="E423" s="69" t="s">
        <v>15</v>
      </c>
      <c r="F423" s="69"/>
      <c r="G423" s="69" t="s">
        <v>6</v>
      </c>
      <c r="H423" s="71">
        <v>22.5</v>
      </c>
      <c r="I423" s="72"/>
      <c r="J423" s="72">
        <v>70.680000000000007</v>
      </c>
      <c r="K423" s="72">
        <f t="shared" si="6"/>
        <v>-70.680000000000007</v>
      </c>
      <c r="L423" s="69"/>
      <c r="M423" s="69"/>
      <c r="N423" s="69"/>
    </row>
    <row r="424" spans="1:14" ht="15" customHeight="1" x14ac:dyDescent="0.25">
      <c r="A424" s="68" t="s">
        <v>169</v>
      </c>
      <c r="B424" s="69"/>
      <c r="C424" s="70">
        <v>46064</v>
      </c>
      <c r="D424" s="69"/>
      <c r="E424" s="69" t="s">
        <v>15</v>
      </c>
      <c r="F424" s="69"/>
      <c r="G424" s="69" t="s">
        <v>10</v>
      </c>
      <c r="H424" s="71">
        <v>242.01</v>
      </c>
      <c r="I424" s="72"/>
      <c r="J424" s="72">
        <v>1449.63</v>
      </c>
      <c r="K424" s="72">
        <f t="shared" si="6"/>
        <v>-1449.63</v>
      </c>
      <c r="L424" s="69"/>
      <c r="M424" s="69"/>
      <c r="N424" s="69"/>
    </row>
    <row r="425" spans="1:14" ht="15" customHeight="1" x14ac:dyDescent="0.25">
      <c r="A425" s="68" t="s">
        <v>169</v>
      </c>
      <c r="B425" s="69"/>
      <c r="C425" s="70">
        <v>46064</v>
      </c>
      <c r="D425" s="69"/>
      <c r="E425" s="69" t="s">
        <v>15</v>
      </c>
      <c r="F425" s="69"/>
      <c r="G425" s="69" t="s">
        <v>12</v>
      </c>
      <c r="H425" s="71">
        <v>40.25</v>
      </c>
      <c r="I425" s="72"/>
      <c r="J425" s="72">
        <v>273.29000000000002</v>
      </c>
      <c r="K425" s="72">
        <f t="shared" si="6"/>
        <v>-273.29000000000002</v>
      </c>
      <c r="L425" s="69"/>
      <c r="M425" s="69"/>
      <c r="N425" s="69"/>
    </row>
    <row r="426" spans="1:14" ht="15" customHeight="1" x14ac:dyDescent="0.25">
      <c r="A426" s="68" t="s">
        <v>169</v>
      </c>
      <c r="B426" s="69"/>
      <c r="C426" s="70">
        <v>46064</v>
      </c>
      <c r="D426" s="69"/>
      <c r="E426" s="69" t="s">
        <v>15</v>
      </c>
      <c r="F426" s="69"/>
      <c r="G426" s="69" t="s">
        <v>11</v>
      </c>
      <c r="H426" s="71">
        <v>381</v>
      </c>
      <c r="I426" s="72"/>
      <c r="J426" s="72">
        <v>2244.09</v>
      </c>
      <c r="K426" s="72">
        <f t="shared" si="6"/>
        <v>-2244.09</v>
      </c>
      <c r="L426" s="69"/>
      <c r="M426" s="69"/>
      <c r="N426" s="69"/>
    </row>
    <row r="427" spans="1:14" ht="15" customHeight="1" x14ac:dyDescent="0.25">
      <c r="A427" s="68" t="s">
        <v>169</v>
      </c>
      <c r="B427" s="69"/>
      <c r="C427" s="70">
        <v>46064</v>
      </c>
      <c r="D427" s="69"/>
      <c r="E427" s="69" t="s">
        <v>15</v>
      </c>
      <c r="F427" s="69"/>
      <c r="G427" s="69" t="s">
        <v>11</v>
      </c>
      <c r="H427" s="71">
        <v>380.52</v>
      </c>
      <c r="I427" s="72"/>
      <c r="J427" s="72">
        <v>2241.2600000000002</v>
      </c>
      <c r="K427" s="72">
        <f t="shared" si="6"/>
        <v>-2241.2600000000002</v>
      </c>
      <c r="L427" s="69"/>
      <c r="M427" s="69"/>
      <c r="N427" s="69"/>
    </row>
    <row r="428" spans="1:14" ht="15" customHeight="1" x14ac:dyDescent="0.25">
      <c r="A428" s="68" t="s">
        <v>169</v>
      </c>
      <c r="B428" s="69"/>
      <c r="C428" s="70">
        <v>46064</v>
      </c>
      <c r="D428" s="69"/>
      <c r="E428" s="69" t="s">
        <v>15</v>
      </c>
      <c r="F428" s="69"/>
      <c r="G428" s="69" t="s">
        <v>12</v>
      </c>
      <c r="H428" s="71">
        <v>52.021000000000001</v>
      </c>
      <c r="I428" s="72"/>
      <c r="J428" s="72">
        <v>353.22</v>
      </c>
      <c r="K428" s="72">
        <f t="shared" si="6"/>
        <v>-353.22</v>
      </c>
      <c r="L428" s="69"/>
      <c r="M428" s="69"/>
      <c r="N428" s="69"/>
    </row>
    <row r="429" spans="1:14" ht="15" customHeight="1" x14ac:dyDescent="0.25">
      <c r="A429" s="68" t="s">
        <v>169</v>
      </c>
      <c r="B429" s="69"/>
      <c r="C429" s="70">
        <v>46063</v>
      </c>
      <c r="D429" s="69"/>
      <c r="E429" s="69" t="s">
        <v>18</v>
      </c>
      <c r="F429" s="69"/>
      <c r="G429" s="69" t="s">
        <v>10</v>
      </c>
      <c r="H429" s="71">
        <v>350</v>
      </c>
      <c r="I429" s="72"/>
      <c r="J429" s="72">
        <v>2033.5</v>
      </c>
      <c r="K429" s="72">
        <f t="shared" si="6"/>
        <v>-2033.5</v>
      </c>
      <c r="L429" s="69"/>
      <c r="M429" s="69"/>
      <c r="N429" s="69"/>
    </row>
    <row r="430" spans="1:14" ht="15" customHeight="1" x14ac:dyDescent="0.25">
      <c r="A430" s="68" t="s">
        <v>169</v>
      </c>
      <c r="B430" s="69"/>
      <c r="C430" s="70">
        <v>46063</v>
      </c>
      <c r="D430" s="69"/>
      <c r="E430" s="69" t="s">
        <v>15</v>
      </c>
      <c r="F430" s="69"/>
      <c r="G430" s="69" t="s">
        <v>6</v>
      </c>
      <c r="H430" s="71">
        <v>24.07</v>
      </c>
      <c r="I430" s="72"/>
      <c r="J430" s="72">
        <v>75.599999999999994</v>
      </c>
      <c r="K430" s="72">
        <f t="shared" si="6"/>
        <v>-75.599999999999994</v>
      </c>
      <c r="L430" s="69"/>
      <c r="M430" s="69"/>
      <c r="N430" s="69"/>
    </row>
    <row r="431" spans="1:14" ht="15" customHeight="1" x14ac:dyDescent="0.25">
      <c r="A431" s="68" t="s">
        <v>169</v>
      </c>
      <c r="B431" s="69"/>
      <c r="C431" s="70">
        <v>46063</v>
      </c>
      <c r="D431" s="69"/>
      <c r="E431" s="69" t="s">
        <v>15</v>
      </c>
      <c r="F431" s="69"/>
      <c r="G431" s="69" t="s">
        <v>10</v>
      </c>
      <c r="H431" s="71">
        <v>385.33100000000002</v>
      </c>
      <c r="I431" s="72"/>
      <c r="J431" s="72">
        <v>2308.13</v>
      </c>
      <c r="K431" s="72">
        <f t="shared" si="6"/>
        <v>-2308.13</v>
      </c>
      <c r="L431" s="69"/>
      <c r="M431" s="69"/>
      <c r="N431" s="69"/>
    </row>
    <row r="432" spans="1:14" ht="15" customHeight="1" x14ac:dyDescent="0.25">
      <c r="A432" s="68" t="s">
        <v>169</v>
      </c>
      <c r="B432" s="69"/>
      <c r="C432" s="70">
        <v>46062</v>
      </c>
      <c r="D432" s="69"/>
      <c r="E432" s="69" t="s">
        <v>15</v>
      </c>
      <c r="F432" s="69"/>
      <c r="G432" s="69" t="s">
        <v>12</v>
      </c>
      <c r="H432" s="71">
        <v>41.07</v>
      </c>
      <c r="I432" s="72"/>
      <c r="J432" s="72">
        <v>278.86</v>
      </c>
      <c r="K432" s="72">
        <f t="shared" si="6"/>
        <v>-278.86</v>
      </c>
      <c r="L432" s="69"/>
      <c r="M432" s="69"/>
      <c r="N432" s="69"/>
    </row>
    <row r="433" spans="1:14" ht="15" customHeight="1" x14ac:dyDescent="0.25">
      <c r="A433" s="68" t="s">
        <v>169</v>
      </c>
      <c r="B433" s="69"/>
      <c r="C433" s="70">
        <v>46062</v>
      </c>
      <c r="D433" s="69"/>
      <c r="E433" s="69" t="s">
        <v>15</v>
      </c>
      <c r="F433" s="69"/>
      <c r="G433" s="69" t="s">
        <v>12</v>
      </c>
      <c r="H433" s="71">
        <v>48.210999999999999</v>
      </c>
      <c r="I433" s="72"/>
      <c r="J433" s="72">
        <v>327.35000000000002</v>
      </c>
      <c r="K433" s="72">
        <f t="shared" si="6"/>
        <v>-327.35000000000002</v>
      </c>
      <c r="L433" s="69"/>
      <c r="M433" s="69"/>
      <c r="N433" s="69"/>
    </row>
    <row r="434" spans="1:14" ht="15" customHeight="1" x14ac:dyDescent="0.25">
      <c r="A434" s="68" t="s">
        <v>169</v>
      </c>
      <c r="B434" s="69"/>
      <c r="C434" s="70">
        <v>46062</v>
      </c>
      <c r="D434" s="69"/>
      <c r="E434" s="69" t="s">
        <v>15</v>
      </c>
      <c r="F434" s="69"/>
      <c r="G434" s="69" t="s">
        <v>12</v>
      </c>
      <c r="H434" s="71">
        <v>25</v>
      </c>
      <c r="I434" s="72"/>
      <c r="J434" s="72">
        <v>172.25</v>
      </c>
      <c r="K434" s="72">
        <f t="shared" si="6"/>
        <v>-172.25</v>
      </c>
      <c r="L434" s="69"/>
      <c r="M434" s="69"/>
      <c r="N434" s="69"/>
    </row>
    <row r="435" spans="1:14" ht="15" customHeight="1" x14ac:dyDescent="0.25">
      <c r="A435" s="68" t="s">
        <v>169</v>
      </c>
      <c r="B435" s="69"/>
      <c r="C435" s="70">
        <v>46062</v>
      </c>
      <c r="D435" s="69"/>
      <c r="E435" s="69" t="s">
        <v>15</v>
      </c>
      <c r="F435" s="69"/>
      <c r="G435" s="69" t="s">
        <v>11</v>
      </c>
      <c r="H435" s="71">
        <v>76.301000000000002</v>
      </c>
      <c r="I435" s="72"/>
      <c r="J435" s="72">
        <v>449.41</v>
      </c>
      <c r="K435" s="72">
        <f t="shared" si="6"/>
        <v>-449.41</v>
      </c>
      <c r="L435" s="69"/>
      <c r="M435" s="69"/>
      <c r="N435" s="69"/>
    </row>
    <row r="436" spans="1:14" ht="15" customHeight="1" x14ac:dyDescent="0.25">
      <c r="A436" s="68" t="s">
        <v>169</v>
      </c>
      <c r="B436" s="69"/>
      <c r="C436" s="70">
        <v>46060</v>
      </c>
      <c r="D436" s="69"/>
      <c r="E436" s="69" t="s">
        <v>18</v>
      </c>
      <c r="F436" s="69"/>
      <c r="G436" s="69" t="s">
        <v>11</v>
      </c>
      <c r="H436" s="71">
        <v>340.41</v>
      </c>
      <c r="I436" s="72"/>
      <c r="J436" s="72">
        <v>1930.12</v>
      </c>
      <c r="K436" s="72">
        <f t="shared" si="6"/>
        <v>-1930.12</v>
      </c>
      <c r="L436" s="69"/>
      <c r="M436" s="69"/>
      <c r="N436" s="69"/>
    </row>
    <row r="437" spans="1:14" ht="15" customHeight="1" x14ac:dyDescent="0.25">
      <c r="A437" s="68" t="s">
        <v>169</v>
      </c>
      <c r="B437" s="69"/>
      <c r="C437" s="70">
        <v>46060</v>
      </c>
      <c r="D437" s="69"/>
      <c r="E437" s="69" t="s">
        <v>18</v>
      </c>
      <c r="F437" s="69"/>
      <c r="G437" s="69" t="s">
        <v>10</v>
      </c>
      <c r="H437" s="71">
        <v>301</v>
      </c>
      <c r="I437" s="72"/>
      <c r="J437" s="72">
        <v>1748.81</v>
      </c>
      <c r="K437" s="72">
        <f t="shared" si="6"/>
        <v>-1748.81</v>
      </c>
      <c r="L437" s="69"/>
      <c r="M437" s="69"/>
      <c r="N437" s="69"/>
    </row>
    <row r="438" spans="1:14" ht="15" customHeight="1" x14ac:dyDescent="0.25">
      <c r="A438" s="68" t="s">
        <v>169</v>
      </c>
      <c r="B438" s="69"/>
      <c r="C438" s="70">
        <v>46060</v>
      </c>
      <c r="D438" s="69"/>
      <c r="E438" s="69" t="s">
        <v>15</v>
      </c>
      <c r="F438" s="69"/>
      <c r="G438" s="69" t="s">
        <v>10</v>
      </c>
      <c r="H438" s="71">
        <v>300.30099999999999</v>
      </c>
      <c r="I438" s="72"/>
      <c r="J438" s="72">
        <v>1798.8</v>
      </c>
      <c r="K438" s="72">
        <f t="shared" si="6"/>
        <v>-1798.8</v>
      </c>
      <c r="L438" s="69"/>
      <c r="M438" s="69"/>
      <c r="N438" s="69"/>
    </row>
    <row r="439" spans="1:14" ht="15" customHeight="1" x14ac:dyDescent="0.25">
      <c r="A439" s="68" t="s">
        <v>169</v>
      </c>
      <c r="B439" s="69"/>
      <c r="C439" s="70">
        <v>46060</v>
      </c>
      <c r="D439" s="69"/>
      <c r="E439" s="69" t="s">
        <v>15</v>
      </c>
      <c r="F439" s="69"/>
      <c r="G439" s="69" t="s">
        <v>6</v>
      </c>
      <c r="H439" s="71">
        <v>26.31</v>
      </c>
      <c r="I439" s="72"/>
      <c r="J439" s="72">
        <v>82.64</v>
      </c>
      <c r="K439" s="72">
        <f t="shared" si="6"/>
        <v>-82.64</v>
      </c>
      <c r="L439" s="69"/>
      <c r="M439" s="69"/>
      <c r="N439" s="69"/>
    </row>
    <row r="440" spans="1:14" ht="15" customHeight="1" x14ac:dyDescent="0.25">
      <c r="A440" s="68" t="s">
        <v>169</v>
      </c>
      <c r="B440" s="69"/>
      <c r="C440" s="70">
        <v>46060</v>
      </c>
      <c r="D440" s="69"/>
      <c r="E440" s="69" t="s">
        <v>15</v>
      </c>
      <c r="F440" s="69"/>
      <c r="G440" s="69" t="s">
        <v>11</v>
      </c>
      <c r="H440" s="71">
        <v>483</v>
      </c>
      <c r="I440" s="72"/>
      <c r="J440" s="72">
        <v>2844.87</v>
      </c>
      <c r="K440" s="72">
        <f t="shared" si="6"/>
        <v>-2844.87</v>
      </c>
      <c r="L440" s="69"/>
      <c r="M440" s="69"/>
      <c r="N440" s="69"/>
    </row>
    <row r="441" spans="1:14" ht="15" customHeight="1" x14ac:dyDescent="0.25">
      <c r="A441" s="68" t="s">
        <v>169</v>
      </c>
      <c r="B441" s="69"/>
      <c r="C441" s="70">
        <v>46060</v>
      </c>
      <c r="D441" s="69"/>
      <c r="E441" s="69" t="s">
        <v>15</v>
      </c>
      <c r="F441" s="69"/>
      <c r="G441" s="69" t="s">
        <v>6</v>
      </c>
      <c r="H441" s="71">
        <v>5.57</v>
      </c>
      <c r="I441" s="72"/>
      <c r="J441" s="72">
        <v>17.5</v>
      </c>
      <c r="K441" s="72">
        <f t="shared" si="6"/>
        <v>-17.5</v>
      </c>
      <c r="L441" s="69"/>
      <c r="M441" s="69"/>
      <c r="N441" s="69"/>
    </row>
    <row r="442" spans="1:14" ht="15" customHeight="1" x14ac:dyDescent="0.25">
      <c r="A442" s="68" t="s">
        <v>169</v>
      </c>
      <c r="B442" s="69"/>
      <c r="C442" s="70">
        <v>46060</v>
      </c>
      <c r="D442" s="69"/>
      <c r="E442" s="69" t="s">
        <v>15</v>
      </c>
      <c r="F442" s="69"/>
      <c r="G442" s="69" t="s">
        <v>10</v>
      </c>
      <c r="H442" s="71">
        <v>252.61</v>
      </c>
      <c r="I442" s="72"/>
      <c r="J442" s="72">
        <v>1513.13</v>
      </c>
      <c r="K442" s="72">
        <f t="shared" si="6"/>
        <v>-1513.13</v>
      </c>
      <c r="L442" s="69"/>
      <c r="M442" s="69"/>
      <c r="N442" s="69"/>
    </row>
    <row r="443" spans="1:14" ht="15" customHeight="1" x14ac:dyDescent="0.25">
      <c r="A443" s="68" t="s">
        <v>169</v>
      </c>
      <c r="B443" s="69"/>
      <c r="C443" s="70">
        <v>46059</v>
      </c>
      <c r="D443" s="69"/>
      <c r="E443" s="69" t="s">
        <v>15</v>
      </c>
      <c r="F443" s="69"/>
      <c r="G443" s="69" t="s">
        <v>10</v>
      </c>
      <c r="H443" s="71">
        <v>361.31099999999998</v>
      </c>
      <c r="I443" s="72"/>
      <c r="J443" s="72">
        <v>2164.25</v>
      </c>
      <c r="K443" s="72">
        <f t="shared" si="6"/>
        <v>-2164.25</v>
      </c>
      <c r="L443" s="69"/>
      <c r="M443" s="69"/>
      <c r="N443" s="69"/>
    </row>
    <row r="444" spans="1:14" ht="15" customHeight="1" x14ac:dyDescent="0.25">
      <c r="A444" s="68" t="s">
        <v>169</v>
      </c>
      <c r="B444" s="69"/>
      <c r="C444" s="70">
        <v>46059</v>
      </c>
      <c r="D444" s="69"/>
      <c r="E444" s="69" t="s">
        <v>15</v>
      </c>
      <c r="F444" s="69"/>
      <c r="G444" s="69" t="s">
        <v>6</v>
      </c>
      <c r="H444" s="71">
        <v>69.23</v>
      </c>
      <c r="I444" s="72"/>
      <c r="J444" s="72">
        <v>217.45</v>
      </c>
      <c r="K444" s="72">
        <f t="shared" si="6"/>
        <v>-217.45</v>
      </c>
      <c r="L444" s="69"/>
      <c r="M444" s="69"/>
      <c r="N444" s="69"/>
    </row>
    <row r="445" spans="1:14" ht="15" customHeight="1" x14ac:dyDescent="0.25">
      <c r="A445" s="68" t="s">
        <v>169</v>
      </c>
      <c r="B445" s="69"/>
      <c r="C445" s="70">
        <v>46059</v>
      </c>
      <c r="D445" s="69"/>
      <c r="E445" s="69" t="s">
        <v>15</v>
      </c>
      <c r="F445" s="69"/>
      <c r="G445" s="69" t="s">
        <v>10</v>
      </c>
      <c r="H445" s="71">
        <v>362.12</v>
      </c>
      <c r="I445" s="72"/>
      <c r="J445" s="72">
        <v>2169.09</v>
      </c>
      <c r="K445" s="72">
        <f t="shared" si="6"/>
        <v>-2169.09</v>
      </c>
      <c r="L445" s="69"/>
      <c r="M445" s="69"/>
      <c r="N445" s="69"/>
    </row>
    <row r="446" spans="1:14" ht="15" customHeight="1" x14ac:dyDescent="0.25">
      <c r="A446" s="68" t="s">
        <v>169</v>
      </c>
      <c r="B446" s="69"/>
      <c r="C446" s="70">
        <v>46059</v>
      </c>
      <c r="D446" s="69"/>
      <c r="E446" s="69" t="s">
        <v>15</v>
      </c>
      <c r="F446" s="69"/>
      <c r="G446" s="69" t="s">
        <v>10</v>
      </c>
      <c r="H446" s="71">
        <v>60</v>
      </c>
      <c r="I446" s="72"/>
      <c r="J446" s="72">
        <v>359.4</v>
      </c>
      <c r="K446" s="72">
        <f t="shared" si="6"/>
        <v>-359.4</v>
      </c>
      <c r="L446" s="69"/>
      <c r="M446" s="69"/>
      <c r="N446" s="69"/>
    </row>
    <row r="447" spans="1:14" ht="15" customHeight="1" x14ac:dyDescent="0.25">
      <c r="A447" s="68" t="s">
        <v>169</v>
      </c>
      <c r="B447" s="69"/>
      <c r="C447" s="70">
        <v>46059</v>
      </c>
      <c r="D447" s="69"/>
      <c r="E447" s="69" t="s">
        <v>15</v>
      </c>
      <c r="F447" s="69"/>
      <c r="G447" s="69" t="s">
        <v>12</v>
      </c>
      <c r="H447" s="71">
        <v>35.210999999999999</v>
      </c>
      <c r="I447" s="72"/>
      <c r="J447" s="72">
        <v>242.6</v>
      </c>
      <c r="K447" s="72">
        <f t="shared" si="6"/>
        <v>-242.6</v>
      </c>
      <c r="L447" s="69"/>
      <c r="M447" s="69"/>
      <c r="N447" s="69"/>
    </row>
    <row r="448" spans="1:14" ht="15" customHeight="1" x14ac:dyDescent="0.25">
      <c r="A448" s="68" t="s">
        <v>169</v>
      </c>
      <c r="B448" s="69"/>
      <c r="C448" s="70">
        <v>46059</v>
      </c>
      <c r="D448" s="69"/>
      <c r="E448" s="69" t="s">
        <v>15</v>
      </c>
      <c r="F448" s="69"/>
      <c r="G448" s="69" t="s">
        <v>10</v>
      </c>
      <c r="H448" s="71">
        <v>470</v>
      </c>
      <c r="I448" s="72"/>
      <c r="J448" s="72">
        <v>2815.3</v>
      </c>
      <c r="K448" s="72">
        <f t="shared" si="6"/>
        <v>-2815.3</v>
      </c>
      <c r="L448" s="69"/>
      <c r="M448" s="69"/>
      <c r="N448" s="69"/>
    </row>
    <row r="449" spans="1:14" ht="15" customHeight="1" x14ac:dyDescent="0.25">
      <c r="A449" s="68" t="s">
        <v>169</v>
      </c>
      <c r="B449" s="69"/>
      <c r="C449" s="70">
        <v>46059</v>
      </c>
      <c r="D449" s="69"/>
      <c r="E449" s="69" t="s">
        <v>15</v>
      </c>
      <c r="F449" s="69"/>
      <c r="G449" s="69" t="s">
        <v>10</v>
      </c>
      <c r="H449" s="71">
        <v>348.36</v>
      </c>
      <c r="I449" s="72"/>
      <c r="J449" s="72">
        <v>2086.67</v>
      </c>
      <c r="K449" s="72">
        <f t="shared" si="6"/>
        <v>-2086.67</v>
      </c>
      <c r="L449" s="69"/>
      <c r="M449" s="69"/>
      <c r="N449" s="69"/>
    </row>
    <row r="450" spans="1:14" ht="15" customHeight="1" x14ac:dyDescent="0.25">
      <c r="A450" s="68" t="s">
        <v>169</v>
      </c>
      <c r="B450" s="69"/>
      <c r="C450" s="70">
        <v>46059</v>
      </c>
      <c r="D450" s="69"/>
      <c r="E450" s="69" t="s">
        <v>17</v>
      </c>
      <c r="F450" s="69"/>
      <c r="G450" s="69" t="s">
        <v>6</v>
      </c>
      <c r="H450" s="71">
        <v>31</v>
      </c>
      <c r="I450" s="72"/>
      <c r="J450" s="72">
        <v>114.39</v>
      </c>
      <c r="K450" s="72">
        <f t="shared" si="6"/>
        <v>-114.39</v>
      </c>
      <c r="L450" s="69"/>
      <c r="M450" s="69"/>
      <c r="N450" s="69"/>
    </row>
    <row r="451" spans="1:14" ht="15" customHeight="1" x14ac:dyDescent="0.25">
      <c r="A451" s="68" t="s">
        <v>169</v>
      </c>
      <c r="B451" s="69"/>
      <c r="C451" s="70">
        <v>46059</v>
      </c>
      <c r="D451" s="69"/>
      <c r="E451" s="69" t="s">
        <v>15</v>
      </c>
      <c r="F451" s="69"/>
      <c r="G451" s="69" t="s">
        <v>6</v>
      </c>
      <c r="H451" s="71">
        <v>5.85</v>
      </c>
      <c r="I451" s="72"/>
      <c r="J451" s="72">
        <v>18.38</v>
      </c>
      <c r="K451" s="72">
        <f t="shared" si="6"/>
        <v>-18.38</v>
      </c>
      <c r="L451" s="69"/>
      <c r="M451" s="69"/>
      <c r="N451" s="69"/>
    </row>
    <row r="452" spans="1:14" ht="15" customHeight="1" x14ac:dyDescent="0.25">
      <c r="A452" s="68" t="s">
        <v>169</v>
      </c>
      <c r="B452" s="69"/>
      <c r="C452" s="70">
        <v>46059</v>
      </c>
      <c r="D452" s="69"/>
      <c r="E452" s="69" t="s">
        <v>15</v>
      </c>
      <c r="F452" s="69"/>
      <c r="G452" s="69" t="s">
        <v>10</v>
      </c>
      <c r="H452" s="71">
        <v>157.81</v>
      </c>
      <c r="I452" s="72"/>
      <c r="J452" s="72">
        <v>945.28</v>
      </c>
      <c r="K452" s="72">
        <f t="shared" si="6"/>
        <v>-945.28</v>
      </c>
      <c r="L452" s="69"/>
      <c r="M452" s="69"/>
      <c r="N452" s="69"/>
    </row>
    <row r="453" spans="1:14" ht="15" customHeight="1" x14ac:dyDescent="0.25">
      <c r="A453" s="68" t="s">
        <v>169</v>
      </c>
      <c r="B453" s="69"/>
      <c r="C453" s="70">
        <v>46058</v>
      </c>
      <c r="D453" s="69"/>
      <c r="E453" s="69" t="s">
        <v>15</v>
      </c>
      <c r="F453" s="69"/>
      <c r="G453" s="69" t="s">
        <v>10</v>
      </c>
      <c r="H453" s="71">
        <v>567.57000000000005</v>
      </c>
      <c r="I453" s="72"/>
      <c r="J453" s="72">
        <v>3399.74</v>
      </c>
      <c r="K453" s="72">
        <f t="shared" ref="K453:K516" si="7">IFERROR(I453-J453,"")</f>
        <v>-3399.74</v>
      </c>
      <c r="L453" s="69"/>
      <c r="M453" s="69"/>
      <c r="N453" s="69"/>
    </row>
    <row r="454" spans="1:14" ht="15" customHeight="1" x14ac:dyDescent="0.25">
      <c r="A454" s="68" t="s">
        <v>169</v>
      </c>
      <c r="B454" s="69"/>
      <c r="C454" s="70">
        <v>46057</v>
      </c>
      <c r="D454" s="69"/>
      <c r="E454" s="69" t="s">
        <v>15</v>
      </c>
      <c r="F454" s="69"/>
      <c r="G454" s="69" t="s">
        <v>10</v>
      </c>
      <c r="H454" s="71">
        <v>285.51100000000002</v>
      </c>
      <c r="I454" s="72"/>
      <c r="J454" s="72">
        <v>1710.21</v>
      </c>
      <c r="K454" s="72">
        <f t="shared" si="7"/>
        <v>-1710.21</v>
      </c>
      <c r="L454" s="69"/>
      <c r="M454" s="69"/>
      <c r="N454" s="69"/>
    </row>
    <row r="455" spans="1:14" ht="15" customHeight="1" x14ac:dyDescent="0.25">
      <c r="A455" s="68" t="s">
        <v>169</v>
      </c>
      <c r="B455" s="69"/>
      <c r="C455" s="70">
        <v>46057</v>
      </c>
      <c r="D455" s="69"/>
      <c r="E455" s="69" t="s">
        <v>15</v>
      </c>
      <c r="F455" s="69"/>
      <c r="G455" s="69" t="s">
        <v>11</v>
      </c>
      <c r="H455" s="71">
        <v>507.56</v>
      </c>
      <c r="I455" s="72"/>
      <c r="J455" s="72">
        <v>2989.52</v>
      </c>
      <c r="K455" s="72">
        <f t="shared" si="7"/>
        <v>-2989.52</v>
      </c>
      <c r="L455" s="69"/>
      <c r="M455" s="69"/>
      <c r="N455" s="69"/>
    </row>
    <row r="456" spans="1:14" ht="15" customHeight="1" x14ac:dyDescent="0.25">
      <c r="A456" s="68" t="s">
        <v>169</v>
      </c>
      <c r="B456" s="69"/>
      <c r="C456" s="70">
        <v>46057</v>
      </c>
      <c r="D456" s="69"/>
      <c r="E456" s="69" t="s">
        <v>15</v>
      </c>
      <c r="F456" s="69"/>
      <c r="G456" s="69" t="s">
        <v>12</v>
      </c>
      <c r="H456" s="71">
        <v>38.58</v>
      </c>
      <c r="I456" s="72"/>
      <c r="J456" s="72">
        <v>265.81</v>
      </c>
      <c r="K456" s="72">
        <f t="shared" si="7"/>
        <v>-265.81</v>
      </c>
      <c r="L456" s="69"/>
      <c r="M456" s="69"/>
      <c r="N456" s="69"/>
    </row>
    <row r="457" spans="1:14" ht="15" customHeight="1" x14ac:dyDescent="0.25">
      <c r="A457" s="68" t="s">
        <v>169</v>
      </c>
      <c r="B457" s="69"/>
      <c r="C457" s="70">
        <v>46056</v>
      </c>
      <c r="D457" s="69"/>
      <c r="E457" s="69" t="s">
        <v>15</v>
      </c>
      <c r="F457" s="69"/>
      <c r="G457" s="69" t="s">
        <v>10</v>
      </c>
      <c r="H457" s="71">
        <v>395.21100000000001</v>
      </c>
      <c r="I457" s="72"/>
      <c r="J457" s="72">
        <v>2367.31</v>
      </c>
      <c r="K457" s="72">
        <f t="shared" si="7"/>
        <v>-2367.31</v>
      </c>
      <c r="L457" s="69"/>
      <c r="M457" s="69"/>
      <c r="N457" s="69"/>
    </row>
    <row r="458" spans="1:14" ht="15" customHeight="1" x14ac:dyDescent="0.25">
      <c r="A458" s="68" t="s">
        <v>169</v>
      </c>
      <c r="B458" s="69"/>
      <c r="C458" s="70">
        <v>46056</v>
      </c>
      <c r="D458" s="69"/>
      <c r="E458" s="69" t="s">
        <v>15</v>
      </c>
      <c r="F458" s="69"/>
      <c r="G458" s="69" t="s">
        <v>12</v>
      </c>
      <c r="H458" s="71">
        <v>50.341000000000001</v>
      </c>
      <c r="I458" s="72"/>
      <c r="J458" s="72">
        <v>346.84</v>
      </c>
      <c r="K458" s="72">
        <f t="shared" si="7"/>
        <v>-346.84</v>
      </c>
      <c r="L458" s="69"/>
      <c r="M458" s="69"/>
      <c r="N458" s="69"/>
    </row>
    <row r="459" spans="1:14" ht="15" customHeight="1" x14ac:dyDescent="0.25">
      <c r="A459" s="68" t="s">
        <v>169</v>
      </c>
      <c r="B459" s="69"/>
      <c r="C459" s="70">
        <v>46056</v>
      </c>
      <c r="D459" s="69"/>
      <c r="E459" s="69" t="s">
        <v>15</v>
      </c>
      <c r="F459" s="69"/>
      <c r="G459" s="69" t="s">
        <v>6</v>
      </c>
      <c r="H459" s="71">
        <v>15.66</v>
      </c>
      <c r="I459" s="72"/>
      <c r="J459" s="72">
        <v>49.18</v>
      </c>
      <c r="K459" s="72">
        <f t="shared" si="7"/>
        <v>-49.18</v>
      </c>
      <c r="L459" s="69"/>
      <c r="M459" s="69"/>
      <c r="N459" s="69"/>
    </row>
    <row r="460" spans="1:14" ht="15" customHeight="1" x14ac:dyDescent="0.25">
      <c r="A460" s="68" t="s">
        <v>169</v>
      </c>
      <c r="B460" s="69"/>
      <c r="C460" s="70">
        <v>46056</v>
      </c>
      <c r="D460" s="69"/>
      <c r="E460" s="69" t="s">
        <v>15</v>
      </c>
      <c r="F460" s="69"/>
      <c r="G460" s="69" t="s">
        <v>10</v>
      </c>
      <c r="H460" s="71">
        <v>299.95100000000002</v>
      </c>
      <c r="I460" s="72"/>
      <c r="J460" s="72">
        <v>1796.7</v>
      </c>
      <c r="K460" s="72">
        <f t="shared" si="7"/>
        <v>-1796.7</v>
      </c>
      <c r="L460" s="69"/>
      <c r="M460" s="69"/>
      <c r="N460" s="69"/>
    </row>
    <row r="461" spans="1:14" ht="15" customHeight="1" x14ac:dyDescent="0.25">
      <c r="A461" s="68" t="s">
        <v>169</v>
      </c>
      <c r="B461" s="69"/>
      <c r="C461" s="70">
        <v>46055</v>
      </c>
      <c r="D461" s="69"/>
      <c r="E461" s="69" t="s">
        <v>15</v>
      </c>
      <c r="F461" s="69"/>
      <c r="G461" s="69" t="s">
        <v>12</v>
      </c>
      <c r="H461" s="71">
        <v>51.320999999999998</v>
      </c>
      <c r="I461" s="72"/>
      <c r="J461" s="72">
        <v>353.6</v>
      </c>
      <c r="K461" s="72">
        <f t="shared" si="7"/>
        <v>-353.6</v>
      </c>
      <c r="L461" s="69"/>
      <c r="M461" s="69"/>
      <c r="N461" s="69"/>
    </row>
    <row r="462" spans="1:14" ht="15" customHeight="1" x14ac:dyDescent="0.25">
      <c r="A462" s="68" t="s">
        <v>169</v>
      </c>
      <c r="B462" s="69"/>
      <c r="C462" s="70">
        <v>46054</v>
      </c>
      <c r="D462" s="69"/>
      <c r="E462" s="69" t="s">
        <v>15</v>
      </c>
      <c r="F462" s="69"/>
      <c r="G462" s="69" t="s">
        <v>12</v>
      </c>
      <c r="H462" s="71">
        <v>45.94</v>
      </c>
      <c r="I462" s="72"/>
      <c r="J462" s="72">
        <v>316.52</v>
      </c>
      <c r="K462" s="72">
        <f t="shared" si="7"/>
        <v>-316.52</v>
      </c>
      <c r="L462" s="69"/>
      <c r="M462" s="69"/>
      <c r="N462" s="69"/>
    </row>
    <row r="463" spans="1:14" ht="15" customHeight="1" x14ac:dyDescent="0.25">
      <c r="A463" s="68" t="s">
        <v>169</v>
      </c>
      <c r="B463" s="69"/>
      <c r="C463" s="70">
        <v>46052</v>
      </c>
      <c r="D463" s="69"/>
      <c r="E463" s="69" t="s">
        <v>15</v>
      </c>
      <c r="F463" s="69"/>
      <c r="G463" s="69" t="s">
        <v>11</v>
      </c>
      <c r="H463" s="71">
        <v>362.37099999999998</v>
      </c>
      <c r="I463" s="72"/>
      <c r="J463" s="72">
        <v>2134.36</v>
      </c>
      <c r="K463" s="72">
        <f t="shared" si="7"/>
        <v>-2134.36</v>
      </c>
      <c r="L463" s="69"/>
      <c r="M463" s="69"/>
      <c r="N463" s="69"/>
    </row>
    <row r="464" spans="1:14" ht="15" customHeight="1" x14ac:dyDescent="0.25">
      <c r="A464" s="68" t="s">
        <v>169</v>
      </c>
      <c r="B464" s="69"/>
      <c r="C464" s="70">
        <v>46052</v>
      </c>
      <c r="D464" s="69"/>
      <c r="E464" s="69" t="s">
        <v>15</v>
      </c>
      <c r="F464" s="69"/>
      <c r="G464" s="69" t="s">
        <v>10</v>
      </c>
      <c r="H464" s="71">
        <v>254.82</v>
      </c>
      <c r="I464" s="72"/>
      <c r="J464" s="72">
        <v>1526.37</v>
      </c>
      <c r="K464" s="72">
        <f t="shared" si="7"/>
        <v>-1526.37</v>
      </c>
      <c r="L464" s="69"/>
      <c r="M464" s="69"/>
      <c r="N464" s="69"/>
    </row>
    <row r="465" spans="1:14" ht="15" customHeight="1" x14ac:dyDescent="0.25">
      <c r="A465" s="68" t="s">
        <v>169</v>
      </c>
      <c r="B465" s="69"/>
      <c r="C465" s="70">
        <v>46051</v>
      </c>
      <c r="D465" s="69"/>
      <c r="E465" s="69" t="s">
        <v>15</v>
      </c>
      <c r="F465" s="69"/>
      <c r="G465" s="69" t="s">
        <v>6</v>
      </c>
      <c r="H465" s="71">
        <v>1.1299999999999999</v>
      </c>
      <c r="I465" s="72"/>
      <c r="J465" s="72">
        <v>3.55</v>
      </c>
      <c r="K465" s="72">
        <f t="shared" si="7"/>
        <v>-3.55</v>
      </c>
      <c r="L465" s="69"/>
      <c r="M465" s="69"/>
      <c r="N465" s="69"/>
    </row>
    <row r="466" spans="1:14" ht="15" customHeight="1" x14ac:dyDescent="0.25">
      <c r="A466" s="68" t="s">
        <v>169</v>
      </c>
      <c r="B466" s="69"/>
      <c r="C466" s="70">
        <v>46051</v>
      </c>
      <c r="D466" s="69"/>
      <c r="E466" s="69" t="s">
        <v>15</v>
      </c>
      <c r="F466" s="69"/>
      <c r="G466" s="69" t="s">
        <v>10</v>
      </c>
      <c r="H466" s="71">
        <v>459.26</v>
      </c>
      <c r="I466" s="72"/>
      <c r="J466" s="72">
        <v>2750.96</v>
      </c>
      <c r="K466" s="72">
        <f t="shared" si="7"/>
        <v>-2750.96</v>
      </c>
      <c r="L466" s="69"/>
      <c r="M466" s="69"/>
      <c r="N466" s="69"/>
    </row>
    <row r="467" spans="1:14" ht="15" customHeight="1" x14ac:dyDescent="0.25">
      <c r="A467" s="68" t="s">
        <v>169</v>
      </c>
      <c r="B467" s="69"/>
      <c r="C467" s="70">
        <v>46050</v>
      </c>
      <c r="D467" s="69"/>
      <c r="E467" s="69" t="s">
        <v>15</v>
      </c>
      <c r="F467" s="69"/>
      <c r="G467" s="69" t="s">
        <v>11</v>
      </c>
      <c r="H467" s="71">
        <v>191.99</v>
      </c>
      <c r="I467" s="72"/>
      <c r="J467" s="72">
        <v>1130.82</v>
      </c>
      <c r="K467" s="72">
        <f t="shared" si="7"/>
        <v>-1130.82</v>
      </c>
      <c r="L467" s="69"/>
      <c r="M467" s="69"/>
      <c r="N467" s="69"/>
    </row>
    <row r="468" spans="1:14" ht="15" customHeight="1" x14ac:dyDescent="0.25">
      <c r="A468" s="68" t="s">
        <v>169</v>
      </c>
      <c r="B468" s="69"/>
      <c r="C468" s="70">
        <v>46050</v>
      </c>
      <c r="D468" s="69"/>
      <c r="E468" s="69" t="s">
        <v>15</v>
      </c>
      <c r="F468" s="69"/>
      <c r="G468" s="69" t="s">
        <v>10</v>
      </c>
      <c r="H468" s="71">
        <v>490</v>
      </c>
      <c r="I468" s="72"/>
      <c r="J468" s="72">
        <v>2935.1</v>
      </c>
      <c r="K468" s="72">
        <f t="shared" si="7"/>
        <v>-2935.1</v>
      </c>
      <c r="L468" s="69"/>
      <c r="M468" s="69"/>
      <c r="N468" s="69"/>
    </row>
    <row r="469" spans="1:14" ht="15" customHeight="1" x14ac:dyDescent="0.25">
      <c r="A469" s="68" t="s">
        <v>169</v>
      </c>
      <c r="B469" s="69"/>
      <c r="C469" s="70">
        <v>46050</v>
      </c>
      <c r="D469" s="69"/>
      <c r="E469" s="69" t="s">
        <v>15</v>
      </c>
      <c r="F469" s="69"/>
      <c r="G469" s="69" t="s">
        <v>11</v>
      </c>
      <c r="H469" s="71">
        <v>272.76</v>
      </c>
      <c r="I469" s="72"/>
      <c r="J469" s="72">
        <v>1606.55</v>
      </c>
      <c r="K469" s="72">
        <f t="shared" si="7"/>
        <v>-1606.55</v>
      </c>
      <c r="L469" s="69"/>
      <c r="M469" s="69"/>
      <c r="N469" s="69"/>
    </row>
    <row r="470" spans="1:14" ht="15" customHeight="1" x14ac:dyDescent="0.25">
      <c r="A470" s="68" t="s">
        <v>169</v>
      </c>
      <c r="B470" s="69"/>
      <c r="C470" s="70">
        <v>46050</v>
      </c>
      <c r="D470" s="69"/>
      <c r="E470" s="69" t="s">
        <v>15</v>
      </c>
      <c r="F470" s="69"/>
      <c r="G470" s="69" t="s">
        <v>6</v>
      </c>
      <c r="H470" s="71">
        <v>13.52</v>
      </c>
      <c r="I470" s="72"/>
      <c r="J470" s="72">
        <v>42.46</v>
      </c>
      <c r="K470" s="72">
        <f t="shared" si="7"/>
        <v>-42.46</v>
      </c>
      <c r="L470" s="69"/>
      <c r="M470" s="69"/>
      <c r="N470" s="69"/>
    </row>
    <row r="471" spans="1:14" ht="15" customHeight="1" x14ac:dyDescent="0.25">
      <c r="A471" s="68" t="s">
        <v>169</v>
      </c>
      <c r="B471" s="69"/>
      <c r="C471" s="70">
        <v>46050</v>
      </c>
      <c r="D471" s="69"/>
      <c r="E471" s="69" t="s">
        <v>15</v>
      </c>
      <c r="F471" s="69"/>
      <c r="G471" s="69" t="s">
        <v>10</v>
      </c>
      <c r="H471" s="71">
        <v>300.01</v>
      </c>
      <c r="I471" s="72"/>
      <c r="J471" s="72">
        <v>1797.05</v>
      </c>
      <c r="K471" s="72">
        <f t="shared" si="7"/>
        <v>-1797.05</v>
      </c>
      <c r="L471" s="69"/>
      <c r="M471" s="69"/>
      <c r="N471" s="69"/>
    </row>
    <row r="472" spans="1:14" ht="15" customHeight="1" x14ac:dyDescent="0.25">
      <c r="A472" s="68" t="s">
        <v>169</v>
      </c>
      <c r="B472" s="69"/>
      <c r="C472" s="70">
        <v>46050</v>
      </c>
      <c r="D472" s="69"/>
      <c r="E472" s="69" t="s">
        <v>15</v>
      </c>
      <c r="F472" s="69"/>
      <c r="G472" s="69" t="s">
        <v>10</v>
      </c>
      <c r="H472" s="71">
        <v>358.88099999999997</v>
      </c>
      <c r="I472" s="72"/>
      <c r="J472" s="72">
        <v>2149.69</v>
      </c>
      <c r="K472" s="72">
        <f t="shared" si="7"/>
        <v>-2149.69</v>
      </c>
      <c r="L472" s="69"/>
      <c r="M472" s="69"/>
      <c r="N472" s="69"/>
    </row>
    <row r="473" spans="1:14" ht="15" customHeight="1" x14ac:dyDescent="0.25">
      <c r="A473" s="68" t="s">
        <v>169</v>
      </c>
      <c r="B473" s="69"/>
      <c r="C473" s="70">
        <v>46050</v>
      </c>
      <c r="D473" s="69"/>
      <c r="E473" s="69" t="s">
        <v>15</v>
      </c>
      <c r="F473" s="69"/>
      <c r="G473" s="69" t="s">
        <v>11</v>
      </c>
      <c r="H473" s="71">
        <v>214.62100000000001</v>
      </c>
      <c r="I473" s="72"/>
      <c r="J473" s="72">
        <v>1264.1099999999999</v>
      </c>
      <c r="K473" s="72">
        <f t="shared" si="7"/>
        <v>-1264.1099999999999</v>
      </c>
      <c r="L473" s="69"/>
      <c r="M473" s="69"/>
      <c r="N473" s="69"/>
    </row>
    <row r="474" spans="1:14" ht="15" customHeight="1" x14ac:dyDescent="0.25">
      <c r="A474" s="68" t="s">
        <v>169</v>
      </c>
      <c r="B474" s="69"/>
      <c r="C474" s="70">
        <v>46050</v>
      </c>
      <c r="D474" s="69"/>
      <c r="E474" s="69" t="s">
        <v>15</v>
      </c>
      <c r="F474" s="69"/>
      <c r="G474" s="69" t="s">
        <v>10</v>
      </c>
      <c r="H474" s="71">
        <v>307.69</v>
      </c>
      <c r="I474" s="72"/>
      <c r="J474" s="72">
        <v>1843.06</v>
      </c>
      <c r="K474" s="72">
        <f t="shared" si="7"/>
        <v>-1843.06</v>
      </c>
      <c r="L474" s="69"/>
      <c r="M474" s="69"/>
      <c r="N474" s="69"/>
    </row>
    <row r="475" spans="1:14" ht="15" customHeight="1" x14ac:dyDescent="0.25">
      <c r="A475" s="68" t="s">
        <v>169</v>
      </c>
      <c r="B475" s="69"/>
      <c r="C475" s="70">
        <v>46049</v>
      </c>
      <c r="D475" s="69"/>
      <c r="E475" s="69" t="s">
        <v>15</v>
      </c>
      <c r="F475" s="69"/>
      <c r="G475" s="69" t="s">
        <v>11</v>
      </c>
      <c r="H475" s="71">
        <v>397.71</v>
      </c>
      <c r="I475" s="72"/>
      <c r="J475" s="72">
        <v>2342.5100000000002</v>
      </c>
      <c r="K475" s="72">
        <f t="shared" si="7"/>
        <v>-2342.5100000000002</v>
      </c>
      <c r="L475" s="69"/>
      <c r="M475" s="69"/>
      <c r="N475" s="69"/>
    </row>
    <row r="476" spans="1:14" ht="15" customHeight="1" x14ac:dyDescent="0.25">
      <c r="A476" s="68" t="s">
        <v>169</v>
      </c>
      <c r="B476" s="69"/>
      <c r="C476" s="70">
        <v>46049</v>
      </c>
      <c r="D476" s="69"/>
      <c r="E476" s="69" t="s">
        <v>15</v>
      </c>
      <c r="F476" s="69"/>
      <c r="G476" s="69" t="s">
        <v>11</v>
      </c>
      <c r="H476" s="71">
        <v>375.26100000000002</v>
      </c>
      <c r="I476" s="72"/>
      <c r="J476" s="72">
        <v>2210.2800000000002</v>
      </c>
      <c r="K476" s="72">
        <f t="shared" si="7"/>
        <v>-2210.2800000000002</v>
      </c>
      <c r="L476" s="69"/>
      <c r="M476" s="69"/>
      <c r="N476" s="69"/>
    </row>
    <row r="477" spans="1:14" ht="15" customHeight="1" x14ac:dyDescent="0.25">
      <c r="A477" s="68" t="s">
        <v>169</v>
      </c>
      <c r="B477" s="69"/>
      <c r="C477" s="70">
        <v>46049</v>
      </c>
      <c r="D477" s="69"/>
      <c r="E477" s="69" t="s">
        <v>15</v>
      </c>
      <c r="F477" s="69"/>
      <c r="G477" s="69" t="s">
        <v>6</v>
      </c>
      <c r="H477" s="71">
        <v>5.75</v>
      </c>
      <c r="I477" s="72"/>
      <c r="J477" s="72">
        <v>18.059999999999999</v>
      </c>
      <c r="K477" s="72">
        <f t="shared" si="7"/>
        <v>-18.059999999999999</v>
      </c>
      <c r="L477" s="69"/>
      <c r="M477" s="69"/>
      <c r="N477" s="69"/>
    </row>
    <row r="478" spans="1:14" ht="15" customHeight="1" x14ac:dyDescent="0.25">
      <c r="A478" s="68" t="s">
        <v>169</v>
      </c>
      <c r="B478" s="69"/>
      <c r="C478" s="70">
        <v>46049</v>
      </c>
      <c r="D478" s="69"/>
      <c r="E478" s="69" t="s">
        <v>15</v>
      </c>
      <c r="F478" s="69"/>
      <c r="G478" s="69" t="s">
        <v>10</v>
      </c>
      <c r="H478" s="71">
        <v>425.84100000000001</v>
      </c>
      <c r="I478" s="72"/>
      <c r="J478" s="72">
        <v>2550.7800000000002</v>
      </c>
      <c r="K478" s="72">
        <f t="shared" si="7"/>
        <v>-2550.7800000000002</v>
      </c>
      <c r="L478" s="69"/>
      <c r="M478" s="69"/>
      <c r="N478" s="69"/>
    </row>
    <row r="479" spans="1:14" ht="15" customHeight="1" x14ac:dyDescent="0.25">
      <c r="A479" s="68" t="s">
        <v>169</v>
      </c>
      <c r="B479" s="69"/>
      <c r="C479" s="70">
        <v>46049</v>
      </c>
      <c r="D479" s="69"/>
      <c r="E479" s="69" t="s">
        <v>15</v>
      </c>
      <c r="F479" s="69"/>
      <c r="G479" s="69" t="s">
        <v>11</v>
      </c>
      <c r="H479" s="71">
        <v>328.71</v>
      </c>
      <c r="I479" s="72"/>
      <c r="J479" s="72">
        <v>1936.1</v>
      </c>
      <c r="K479" s="72">
        <f t="shared" si="7"/>
        <v>-1936.1</v>
      </c>
      <c r="L479" s="69"/>
      <c r="M479" s="69"/>
      <c r="N479" s="69"/>
    </row>
    <row r="480" spans="1:14" ht="15" customHeight="1" x14ac:dyDescent="0.25">
      <c r="A480" s="68" t="s">
        <v>169</v>
      </c>
      <c r="B480" s="69"/>
      <c r="C480" s="70">
        <v>46049</v>
      </c>
      <c r="D480" s="69"/>
      <c r="E480" s="69" t="s">
        <v>15</v>
      </c>
      <c r="F480" s="69"/>
      <c r="G480" s="69" t="s">
        <v>12</v>
      </c>
      <c r="H480" s="71">
        <v>47.011000000000003</v>
      </c>
      <c r="I480" s="72"/>
      <c r="J480" s="72">
        <v>323.89999999999998</v>
      </c>
      <c r="K480" s="72">
        <f t="shared" si="7"/>
        <v>-323.89999999999998</v>
      </c>
      <c r="L480" s="69"/>
      <c r="M480" s="69"/>
      <c r="N480" s="69"/>
    </row>
    <row r="481" spans="1:14" ht="15" customHeight="1" x14ac:dyDescent="0.25">
      <c r="A481" s="68" t="s">
        <v>169</v>
      </c>
      <c r="B481" s="69"/>
      <c r="C481" s="70">
        <v>46049</v>
      </c>
      <c r="D481" s="69"/>
      <c r="E481" s="69" t="s">
        <v>15</v>
      </c>
      <c r="F481" s="69"/>
      <c r="G481" s="69" t="s">
        <v>6</v>
      </c>
      <c r="H481" s="71">
        <v>69.989999999999995</v>
      </c>
      <c r="I481" s="72"/>
      <c r="J481" s="72">
        <v>219.84</v>
      </c>
      <c r="K481" s="72">
        <f t="shared" si="7"/>
        <v>-219.84</v>
      </c>
      <c r="L481" s="69"/>
      <c r="M481" s="69"/>
      <c r="N481" s="69"/>
    </row>
    <row r="482" spans="1:14" ht="15" customHeight="1" x14ac:dyDescent="0.25">
      <c r="A482" s="68" t="s">
        <v>169</v>
      </c>
      <c r="B482" s="69"/>
      <c r="C482" s="70">
        <v>46049</v>
      </c>
      <c r="D482" s="69"/>
      <c r="E482" s="69" t="s">
        <v>15</v>
      </c>
      <c r="F482" s="69"/>
      <c r="G482" s="69" t="s">
        <v>10</v>
      </c>
      <c r="H482" s="71">
        <v>497.851</v>
      </c>
      <c r="I482" s="72"/>
      <c r="J482" s="72">
        <v>2982.12</v>
      </c>
      <c r="K482" s="72">
        <f t="shared" si="7"/>
        <v>-2982.12</v>
      </c>
      <c r="L482" s="69"/>
      <c r="M482" s="69"/>
      <c r="N482" s="69"/>
    </row>
    <row r="483" spans="1:14" ht="15" customHeight="1" x14ac:dyDescent="0.25">
      <c r="A483" s="68" t="s">
        <v>169</v>
      </c>
      <c r="B483" s="69"/>
      <c r="C483" s="70">
        <v>46049</v>
      </c>
      <c r="D483" s="69"/>
      <c r="E483" s="69" t="s">
        <v>15</v>
      </c>
      <c r="F483" s="69"/>
      <c r="G483" s="69" t="s">
        <v>11</v>
      </c>
      <c r="H483" s="71">
        <v>308.57</v>
      </c>
      <c r="I483" s="72"/>
      <c r="J483" s="72">
        <v>1817.47</v>
      </c>
      <c r="K483" s="72">
        <f t="shared" si="7"/>
        <v>-1817.47</v>
      </c>
      <c r="L483" s="69"/>
      <c r="M483" s="69"/>
      <c r="N483" s="69"/>
    </row>
    <row r="484" spans="1:14" ht="15" customHeight="1" x14ac:dyDescent="0.25">
      <c r="A484" s="68" t="s">
        <v>169</v>
      </c>
      <c r="B484" s="69"/>
      <c r="C484" s="70">
        <v>46048</v>
      </c>
      <c r="D484" s="69"/>
      <c r="E484" s="69" t="s">
        <v>15</v>
      </c>
      <c r="F484" s="69"/>
      <c r="G484" s="69" t="s">
        <v>12</v>
      </c>
      <c r="H484" s="71">
        <v>38.401000000000003</v>
      </c>
      <c r="I484" s="72"/>
      <c r="J484" s="72">
        <v>264.58</v>
      </c>
      <c r="K484" s="72">
        <f t="shared" si="7"/>
        <v>-264.58</v>
      </c>
      <c r="L484" s="69"/>
      <c r="M484" s="69"/>
      <c r="N484" s="69"/>
    </row>
    <row r="485" spans="1:14" ht="15" customHeight="1" x14ac:dyDescent="0.25">
      <c r="A485" s="68" t="s">
        <v>169</v>
      </c>
      <c r="B485" s="69"/>
      <c r="C485" s="70">
        <v>46048</v>
      </c>
      <c r="D485" s="69"/>
      <c r="E485" s="69" t="s">
        <v>15</v>
      </c>
      <c r="F485" s="69"/>
      <c r="G485" s="69" t="s">
        <v>10</v>
      </c>
      <c r="H485" s="71">
        <v>334.45</v>
      </c>
      <c r="I485" s="72"/>
      <c r="J485" s="72">
        <v>2003.35</v>
      </c>
      <c r="K485" s="72">
        <f t="shared" si="7"/>
        <v>-2003.35</v>
      </c>
      <c r="L485" s="69"/>
      <c r="M485" s="69"/>
      <c r="N485" s="69"/>
    </row>
    <row r="486" spans="1:14" ht="15" customHeight="1" x14ac:dyDescent="0.25">
      <c r="A486" s="68" t="s">
        <v>169</v>
      </c>
      <c r="B486" s="69"/>
      <c r="C486" s="70">
        <v>46048</v>
      </c>
      <c r="D486" s="69"/>
      <c r="E486" s="69" t="s">
        <v>15</v>
      </c>
      <c r="F486" s="69"/>
      <c r="G486" s="69" t="s">
        <v>10</v>
      </c>
      <c r="H486" s="71">
        <v>232.59</v>
      </c>
      <c r="I486" s="72"/>
      <c r="J486" s="72">
        <v>1393.21</v>
      </c>
      <c r="K486" s="72">
        <f t="shared" si="7"/>
        <v>-1393.21</v>
      </c>
      <c r="L486" s="69"/>
      <c r="M486" s="69"/>
      <c r="N486" s="69"/>
    </row>
    <row r="487" spans="1:14" ht="15" customHeight="1" x14ac:dyDescent="0.25">
      <c r="A487" s="68" t="s">
        <v>169</v>
      </c>
      <c r="B487" s="69"/>
      <c r="C487" s="70">
        <v>46046</v>
      </c>
      <c r="D487" s="69"/>
      <c r="E487" s="69" t="s">
        <v>15</v>
      </c>
      <c r="F487" s="69"/>
      <c r="G487" s="69" t="s">
        <v>11</v>
      </c>
      <c r="H487" s="71">
        <v>381.32100000000003</v>
      </c>
      <c r="I487" s="72"/>
      <c r="J487" s="72">
        <v>2245.98</v>
      </c>
      <c r="K487" s="72">
        <f t="shared" si="7"/>
        <v>-2245.98</v>
      </c>
      <c r="L487" s="69"/>
      <c r="M487" s="69"/>
      <c r="N487" s="69"/>
    </row>
    <row r="488" spans="1:14" ht="15" customHeight="1" x14ac:dyDescent="0.25">
      <c r="A488" s="68" t="s">
        <v>169</v>
      </c>
      <c r="B488" s="69"/>
      <c r="C488" s="70">
        <v>46046</v>
      </c>
      <c r="D488" s="69"/>
      <c r="E488" s="69" t="s">
        <v>15</v>
      </c>
      <c r="F488" s="69"/>
      <c r="G488" s="69" t="s">
        <v>10</v>
      </c>
      <c r="H488" s="71">
        <v>369.98099999999999</v>
      </c>
      <c r="I488" s="72"/>
      <c r="J488" s="72">
        <v>2216.1799999999998</v>
      </c>
      <c r="K488" s="72">
        <f t="shared" si="7"/>
        <v>-2216.1799999999998</v>
      </c>
      <c r="L488" s="69"/>
      <c r="M488" s="69"/>
      <c r="N488" s="69"/>
    </row>
    <row r="489" spans="1:14" ht="15" customHeight="1" x14ac:dyDescent="0.25">
      <c r="A489" s="68" t="s">
        <v>169</v>
      </c>
      <c r="B489" s="69"/>
      <c r="C489" s="70">
        <v>46045</v>
      </c>
      <c r="D489" s="69"/>
      <c r="E489" s="69" t="s">
        <v>15</v>
      </c>
      <c r="F489" s="69"/>
      <c r="G489" s="69" t="s">
        <v>10</v>
      </c>
      <c r="H489" s="71">
        <v>480</v>
      </c>
      <c r="I489" s="72"/>
      <c r="J489" s="72">
        <v>2875.2</v>
      </c>
      <c r="K489" s="72">
        <f t="shared" si="7"/>
        <v>-2875.2</v>
      </c>
      <c r="L489" s="69"/>
      <c r="M489" s="69"/>
      <c r="N489" s="69"/>
    </row>
    <row r="490" spans="1:14" ht="15" customHeight="1" x14ac:dyDescent="0.25">
      <c r="A490" s="68" t="s">
        <v>169</v>
      </c>
      <c r="B490" s="69"/>
      <c r="C490" s="70">
        <v>46045</v>
      </c>
      <c r="D490" s="69"/>
      <c r="E490" s="69" t="s">
        <v>15</v>
      </c>
      <c r="F490" s="69"/>
      <c r="G490" s="69" t="s">
        <v>12</v>
      </c>
      <c r="H490" s="71">
        <v>25.57</v>
      </c>
      <c r="I490" s="72"/>
      <c r="J490" s="72">
        <v>176.17</v>
      </c>
      <c r="K490" s="72">
        <f t="shared" si="7"/>
        <v>-176.17</v>
      </c>
      <c r="L490" s="69"/>
      <c r="M490" s="69"/>
      <c r="N490" s="69"/>
    </row>
    <row r="491" spans="1:14" ht="15" customHeight="1" x14ac:dyDescent="0.25">
      <c r="A491" s="68" t="s">
        <v>169</v>
      </c>
      <c r="B491" s="69"/>
      <c r="C491" s="70">
        <v>46045</v>
      </c>
      <c r="D491" s="69"/>
      <c r="E491" s="69" t="s">
        <v>15</v>
      </c>
      <c r="F491" s="69"/>
      <c r="G491" s="69" t="s">
        <v>12</v>
      </c>
      <c r="H491" s="71">
        <v>45.78</v>
      </c>
      <c r="I491" s="72"/>
      <c r="J491" s="72">
        <v>315.42</v>
      </c>
      <c r="K491" s="72">
        <f t="shared" si="7"/>
        <v>-315.42</v>
      </c>
      <c r="L491" s="69"/>
      <c r="M491" s="69"/>
      <c r="N491" s="69"/>
    </row>
    <row r="492" spans="1:14" ht="15" customHeight="1" x14ac:dyDescent="0.25">
      <c r="A492" s="68" t="s">
        <v>169</v>
      </c>
      <c r="B492" s="69"/>
      <c r="C492" s="70">
        <v>46045</v>
      </c>
      <c r="D492" s="69"/>
      <c r="E492" s="69" t="s">
        <v>15</v>
      </c>
      <c r="F492" s="69"/>
      <c r="G492" s="69" t="s">
        <v>10</v>
      </c>
      <c r="H492" s="71">
        <v>77.411000000000001</v>
      </c>
      <c r="I492" s="72"/>
      <c r="J492" s="72">
        <v>463.69</v>
      </c>
      <c r="K492" s="72">
        <f t="shared" si="7"/>
        <v>-463.69</v>
      </c>
      <c r="L492" s="69"/>
      <c r="M492" s="69"/>
      <c r="N492" s="69"/>
    </row>
    <row r="493" spans="1:14" ht="15" customHeight="1" x14ac:dyDescent="0.25">
      <c r="A493" s="68" t="s">
        <v>169</v>
      </c>
      <c r="B493" s="69"/>
      <c r="C493" s="70">
        <v>46044</v>
      </c>
      <c r="D493" s="69"/>
      <c r="E493" s="69" t="s">
        <v>15</v>
      </c>
      <c r="F493" s="69"/>
      <c r="G493" s="69" t="s">
        <v>10</v>
      </c>
      <c r="H493" s="71">
        <v>486</v>
      </c>
      <c r="I493" s="72"/>
      <c r="J493" s="72">
        <v>2911.14</v>
      </c>
      <c r="K493" s="72">
        <f t="shared" si="7"/>
        <v>-2911.14</v>
      </c>
      <c r="L493" s="69"/>
      <c r="M493" s="69"/>
      <c r="N493" s="69"/>
    </row>
    <row r="494" spans="1:14" ht="15" customHeight="1" x14ac:dyDescent="0.25">
      <c r="A494" s="68" t="s">
        <v>169</v>
      </c>
      <c r="B494" s="69"/>
      <c r="C494" s="70">
        <v>46044</v>
      </c>
      <c r="D494" s="69"/>
      <c r="E494" s="69" t="s">
        <v>15</v>
      </c>
      <c r="F494" s="69"/>
      <c r="G494" s="69" t="s">
        <v>12</v>
      </c>
      <c r="H494" s="71">
        <v>37.6</v>
      </c>
      <c r="I494" s="72"/>
      <c r="J494" s="72">
        <v>259.06</v>
      </c>
      <c r="K494" s="72">
        <f t="shared" si="7"/>
        <v>-259.06</v>
      </c>
      <c r="L494" s="69"/>
      <c r="M494" s="69"/>
      <c r="N494" s="69"/>
    </row>
    <row r="495" spans="1:14" ht="15" customHeight="1" x14ac:dyDescent="0.25">
      <c r="A495" s="68" t="s">
        <v>169</v>
      </c>
      <c r="B495" s="69"/>
      <c r="C495" s="70">
        <v>46043</v>
      </c>
      <c r="D495" s="69"/>
      <c r="E495" s="69" t="s">
        <v>15</v>
      </c>
      <c r="F495" s="69"/>
      <c r="G495" s="69" t="s">
        <v>12</v>
      </c>
      <c r="H495" s="71">
        <v>49.210999999999999</v>
      </c>
      <c r="I495" s="72"/>
      <c r="J495" s="72">
        <v>339.06</v>
      </c>
      <c r="K495" s="72">
        <f t="shared" si="7"/>
        <v>-339.06</v>
      </c>
      <c r="L495" s="69"/>
      <c r="M495" s="69"/>
      <c r="N495" s="69"/>
    </row>
    <row r="496" spans="1:14" ht="15" customHeight="1" x14ac:dyDescent="0.25">
      <c r="A496" s="68" t="s">
        <v>169</v>
      </c>
      <c r="B496" s="69"/>
      <c r="C496" s="70">
        <v>46042</v>
      </c>
      <c r="D496" s="69"/>
      <c r="E496" s="69" t="s">
        <v>15</v>
      </c>
      <c r="F496" s="69"/>
      <c r="G496" s="69" t="s">
        <v>10</v>
      </c>
      <c r="H496" s="71">
        <v>367.33100000000002</v>
      </c>
      <c r="I496" s="72"/>
      <c r="J496" s="72">
        <v>2200.31</v>
      </c>
      <c r="K496" s="72">
        <f t="shared" si="7"/>
        <v>-2200.31</v>
      </c>
      <c r="L496" s="69"/>
      <c r="M496" s="69"/>
      <c r="N496" s="69"/>
    </row>
    <row r="497" spans="1:14" ht="15" customHeight="1" x14ac:dyDescent="0.25">
      <c r="A497" s="68" t="s">
        <v>169</v>
      </c>
      <c r="B497" s="69"/>
      <c r="C497" s="70">
        <v>46042</v>
      </c>
      <c r="D497" s="69"/>
      <c r="E497" s="69" t="s">
        <v>15</v>
      </c>
      <c r="F497" s="69"/>
      <c r="G497" s="69" t="s">
        <v>11</v>
      </c>
      <c r="H497" s="71">
        <v>477.21100000000001</v>
      </c>
      <c r="I497" s="72"/>
      <c r="J497" s="72">
        <v>2810.77</v>
      </c>
      <c r="K497" s="72">
        <f t="shared" si="7"/>
        <v>-2810.77</v>
      </c>
      <c r="L497" s="69"/>
      <c r="M497" s="69"/>
      <c r="N497" s="69"/>
    </row>
    <row r="498" spans="1:14" ht="15" customHeight="1" x14ac:dyDescent="0.25">
      <c r="A498" s="68" t="s">
        <v>169</v>
      </c>
      <c r="B498" s="69"/>
      <c r="C498" s="70">
        <v>46042</v>
      </c>
      <c r="D498" s="69"/>
      <c r="E498" s="69" t="s">
        <v>15</v>
      </c>
      <c r="F498" s="69"/>
      <c r="G498" s="69" t="s">
        <v>10</v>
      </c>
      <c r="H498" s="71">
        <v>392.08100000000002</v>
      </c>
      <c r="I498" s="72"/>
      <c r="J498" s="72">
        <v>2348.56</v>
      </c>
      <c r="K498" s="72">
        <f t="shared" si="7"/>
        <v>-2348.56</v>
      </c>
      <c r="L498" s="69"/>
      <c r="M498" s="69"/>
      <c r="N498" s="69"/>
    </row>
    <row r="499" spans="1:14" ht="15" customHeight="1" x14ac:dyDescent="0.25">
      <c r="A499" s="68" t="s">
        <v>169</v>
      </c>
      <c r="B499" s="69"/>
      <c r="C499" s="70">
        <v>46042</v>
      </c>
      <c r="D499" s="69"/>
      <c r="E499" s="69" t="s">
        <v>15</v>
      </c>
      <c r="F499" s="69"/>
      <c r="G499" s="69" t="s">
        <v>12</v>
      </c>
      <c r="H499" s="71">
        <v>39.131</v>
      </c>
      <c r="I499" s="72"/>
      <c r="J499" s="72">
        <v>269.61</v>
      </c>
      <c r="K499" s="72">
        <f t="shared" si="7"/>
        <v>-269.61</v>
      </c>
      <c r="L499" s="69"/>
      <c r="M499" s="69"/>
      <c r="N499" s="69"/>
    </row>
    <row r="500" spans="1:14" ht="15" customHeight="1" x14ac:dyDescent="0.25">
      <c r="A500" s="68" t="s">
        <v>169</v>
      </c>
      <c r="B500" s="69"/>
      <c r="C500" s="70">
        <v>46042</v>
      </c>
      <c r="D500" s="69"/>
      <c r="E500" s="69" t="s">
        <v>15</v>
      </c>
      <c r="F500" s="69"/>
      <c r="G500" s="69" t="s">
        <v>11</v>
      </c>
      <c r="H500" s="71">
        <v>326.291</v>
      </c>
      <c r="I500" s="72"/>
      <c r="J500" s="72">
        <v>1921.85</v>
      </c>
      <c r="K500" s="72">
        <f t="shared" si="7"/>
        <v>-1921.85</v>
      </c>
      <c r="L500" s="69"/>
      <c r="M500" s="69"/>
      <c r="N500" s="69"/>
    </row>
    <row r="501" spans="1:14" ht="15" customHeight="1" x14ac:dyDescent="0.25">
      <c r="A501" s="68" t="s">
        <v>169</v>
      </c>
      <c r="B501" s="69"/>
      <c r="C501" s="70">
        <v>46041</v>
      </c>
      <c r="D501" s="69"/>
      <c r="E501" s="69" t="s">
        <v>15</v>
      </c>
      <c r="F501" s="69"/>
      <c r="G501" s="69" t="s">
        <v>11</v>
      </c>
      <c r="H501" s="71">
        <v>463.18099999999998</v>
      </c>
      <c r="I501" s="72"/>
      <c r="J501" s="72">
        <v>2728.13</v>
      </c>
      <c r="K501" s="72">
        <f t="shared" si="7"/>
        <v>-2728.13</v>
      </c>
      <c r="L501" s="69"/>
      <c r="M501" s="69"/>
      <c r="N501" s="69"/>
    </row>
    <row r="502" spans="1:14" ht="15" customHeight="1" x14ac:dyDescent="0.25">
      <c r="A502" s="68" t="s">
        <v>169</v>
      </c>
      <c r="B502" s="69"/>
      <c r="C502" s="70">
        <v>46039</v>
      </c>
      <c r="D502" s="69"/>
      <c r="E502" s="69" t="s">
        <v>15</v>
      </c>
      <c r="F502" s="69"/>
      <c r="G502" s="69" t="s">
        <v>12</v>
      </c>
      <c r="H502" s="71">
        <v>50.66</v>
      </c>
      <c r="I502" s="72"/>
      <c r="J502" s="72">
        <v>349.04</v>
      </c>
      <c r="K502" s="72">
        <f t="shared" si="7"/>
        <v>-349.04</v>
      </c>
      <c r="L502" s="69"/>
      <c r="M502" s="69"/>
      <c r="N502" s="69"/>
    </row>
    <row r="503" spans="1:14" ht="15" customHeight="1" x14ac:dyDescent="0.25">
      <c r="A503" s="68" t="s">
        <v>169</v>
      </c>
      <c r="B503" s="69"/>
      <c r="C503" s="70">
        <v>46039</v>
      </c>
      <c r="D503" s="69"/>
      <c r="E503" s="69" t="s">
        <v>18</v>
      </c>
      <c r="F503" s="69"/>
      <c r="G503" s="69" t="s">
        <v>6</v>
      </c>
      <c r="H503" s="71">
        <v>29.2</v>
      </c>
      <c r="I503" s="72"/>
      <c r="J503" s="72">
        <v>104.83</v>
      </c>
      <c r="K503" s="72">
        <f t="shared" si="7"/>
        <v>-104.83</v>
      </c>
      <c r="L503" s="69"/>
      <c r="M503" s="69"/>
      <c r="N503" s="69"/>
    </row>
    <row r="504" spans="1:14" ht="15" customHeight="1" x14ac:dyDescent="0.25">
      <c r="A504" s="68" t="s">
        <v>169</v>
      </c>
      <c r="B504" s="69"/>
      <c r="C504" s="70">
        <v>46039</v>
      </c>
      <c r="D504" s="69"/>
      <c r="E504" s="69" t="s">
        <v>18</v>
      </c>
      <c r="F504" s="69"/>
      <c r="G504" s="69" t="s">
        <v>10</v>
      </c>
      <c r="H504" s="71">
        <v>686</v>
      </c>
      <c r="I504" s="72"/>
      <c r="J504" s="72">
        <v>3985.66</v>
      </c>
      <c r="K504" s="72">
        <f t="shared" si="7"/>
        <v>-3985.66</v>
      </c>
      <c r="L504" s="69"/>
      <c r="M504" s="69"/>
      <c r="N504" s="69"/>
    </row>
    <row r="505" spans="1:14" ht="15" customHeight="1" x14ac:dyDescent="0.25">
      <c r="A505" s="68" t="s">
        <v>169</v>
      </c>
      <c r="B505" s="69"/>
      <c r="C505" s="70">
        <v>46038</v>
      </c>
      <c r="D505" s="69"/>
      <c r="E505" s="69" t="s">
        <v>18</v>
      </c>
      <c r="F505" s="69"/>
      <c r="G505" s="69" t="s">
        <v>10</v>
      </c>
      <c r="H505" s="71">
        <v>660</v>
      </c>
      <c r="I505" s="72"/>
      <c r="J505" s="72">
        <v>3742.2</v>
      </c>
      <c r="K505" s="72">
        <f t="shared" si="7"/>
        <v>-3742.2</v>
      </c>
      <c r="L505" s="69"/>
      <c r="M505" s="69"/>
      <c r="N505" s="69"/>
    </row>
    <row r="506" spans="1:14" ht="15" customHeight="1" x14ac:dyDescent="0.25">
      <c r="A506" s="68" t="s">
        <v>169</v>
      </c>
      <c r="B506" s="69"/>
      <c r="C506" s="70">
        <v>46038</v>
      </c>
      <c r="D506" s="69"/>
      <c r="E506" s="69" t="s">
        <v>15</v>
      </c>
      <c r="F506" s="69"/>
      <c r="G506" s="69" t="s">
        <v>10</v>
      </c>
      <c r="H506" s="71">
        <v>536.64200000000005</v>
      </c>
      <c r="I506" s="72"/>
      <c r="J506" s="72">
        <v>3214.48</v>
      </c>
      <c r="K506" s="72">
        <f t="shared" si="7"/>
        <v>-3214.48</v>
      </c>
      <c r="L506" s="69"/>
      <c r="M506" s="69"/>
      <c r="N506" s="69"/>
    </row>
    <row r="507" spans="1:14" ht="15" customHeight="1" x14ac:dyDescent="0.25">
      <c r="A507" s="68" t="s">
        <v>169</v>
      </c>
      <c r="B507" s="69"/>
      <c r="C507" s="70">
        <v>46037</v>
      </c>
      <c r="D507" s="69"/>
      <c r="E507" s="69" t="s">
        <v>18</v>
      </c>
      <c r="F507" s="69"/>
      <c r="G507" s="69" t="s">
        <v>6</v>
      </c>
      <c r="H507" s="71">
        <v>41.2</v>
      </c>
      <c r="I507" s="72"/>
      <c r="J507" s="72">
        <v>147.91</v>
      </c>
      <c r="K507" s="72">
        <f t="shared" si="7"/>
        <v>-147.91</v>
      </c>
      <c r="L507" s="69"/>
      <c r="M507" s="69"/>
      <c r="N507" s="69"/>
    </row>
    <row r="508" spans="1:14" ht="15" customHeight="1" x14ac:dyDescent="0.25">
      <c r="A508" s="68" t="s">
        <v>169</v>
      </c>
      <c r="B508" s="69"/>
      <c r="C508" s="70">
        <v>46037</v>
      </c>
      <c r="D508" s="69"/>
      <c r="E508" s="69" t="s">
        <v>18</v>
      </c>
      <c r="F508" s="69"/>
      <c r="G508" s="69" t="s">
        <v>10</v>
      </c>
      <c r="H508" s="71">
        <v>694.72</v>
      </c>
      <c r="I508" s="72"/>
      <c r="J508" s="72">
        <v>4036.32</v>
      </c>
      <c r="K508" s="72">
        <f t="shared" si="7"/>
        <v>-4036.32</v>
      </c>
      <c r="L508" s="69"/>
      <c r="M508" s="69"/>
      <c r="N508" s="69"/>
    </row>
    <row r="509" spans="1:14" ht="15" customHeight="1" x14ac:dyDescent="0.25">
      <c r="A509" s="68" t="s">
        <v>169</v>
      </c>
      <c r="B509" s="69"/>
      <c r="C509" s="70">
        <v>46037</v>
      </c>
      <c r="D509" s="69"/>
      <c r="E509" s="69" t="s">
        <v>18</v>
      </c>
      <c r="F509" s="69"/>
      <c r="G509" s="69" t="s">
        <v>10</v>
      </c>
      <c r="H509" s="71">
        <v>494.01</v>
      </c>
      <c r="I509" s="72"/>
      <c r="J509" s="72">
        <v>2870.2</v>
      </c>
      <c r="K509" s="72">
        <f t="shared" si="7"/>
        <v>-2870.2</v>
      </c>
      <c r="L509" s="69"/>
      <c r="M509" s="69"/>
      <c r="N509" s="69"/>
    </row>
    <row r="510" spans="1:14" ht="15" customHeight="1" x14ac:dyDescent="0.25">
      <c r="A510" s="68" t="s">
        <v>169</v>
      </c>
      <c r="B510" s="69"/>
      <c r="C510" s="70">
        <v>46036</v>
      </c>
      <c r="D510" s="69"/>
      <c r="E510" s="69" t="s">
        <v>15</v>
      </c>
      <c r="F510" s="69"/>
      <c r="G510" s="69" t="s">
        <v>10</v>
      </c>
      <c r="H510" s="71">
        <v>313.89999999999998</v>
      </c>
      <c r="I510" s="72"/>
      <c r="J510" s="72">
        <v>1880.26</v>
      </c>
      <c r="K510" s="72">
        <f t="shared" si="7"/>
        <v>-1880.26</v>
      </c>
      <c r="L510" s="69"/>
      <c r="M510" s="69"/>
      <c r="N510" s="69"/>
    </row>
    <row r="511" spans="1:14" ht="15" customHeight="1" x14ac:dyDescent="0.25">
      <c r="A511" s="68" t="s">
        <v>169</v>
      </c>
      <c r="B511" s="69"/>
      <c r="C511" s="70">
        <v>46036</v>
      </c>
      <c r="D511" s="69"/>
      <c r="E511" s="69" t="s">
        <v>15</v>
      </c>
      <c r="F511" s="69"/>
      <c r="G511" s="69" t="s">
        <v>11</v>
      </c>
      <c r="H511" s="71">
        <v>404.161</v>
      </c>
      <c r="I511" s="72"/>
      <c r="J511" s="72">
        <v>2380.5</v>
      </c>
      <c r="K511" s="72">
        <f t="shared" si="7"/>
        <v>-2380.5</v>
      </c>
      <c r="L511" s="69"/>
      <c r="M511" s="69"/>
      <c r="N511" s="69"/>
    </row>
    <row r="512" spans="1:14" ht="15" customHeight="1" x14ac:dyDescent="0.25">
      <c r="A512" s="68" t="s">
        <v>169</v>
      </c>
      <c r="B512" s="69"/>
      <c r="C512" s="70">
        <v>46036</v>
      </c>
      <c r="D512" s="69"/>
      <c r="E512" s="69" t="s">
        <v>15</v>
      </c>
      <c r="F512" s="69"/>
      <c r="G512" s="69" t="s">
        <v>10</v>
      </c>
      <c r="H512" s="71">
        <v>62.170999999999999</v>
      </c>
      <c r="I512" s="72"/>
      <c r="J512" s="72">
        <v>372.4</v>
      </c>
      <c r="K512" s="72">
        <f t="shared" si="7"/>
        <v>-372.4</v>
      </c>
      <c r="L512" s="69"/>
      <c r="M512" s="69"/>
      <c r="N512" s="69"/>
    </row>
    <row r="513" spans="1:14" ht="15" customHeight="1" x14ac:dyDescent="0.25">
      <c r="A513" s="68" t="s">
        <v>169</v>
      </c>
      <c r="B513" s="69"/>
      <c r="C513" s="70">
        <v>46036</v>
      </c>
      <c r="D513" s="69"/>
      <c r="E513" s="69" t="s">
        <v>15</v>
      </c>
      <c r="F513" s="69"/>
      <c r="G513" s="69" t="s">
        <v>12</v>
      </c>
      <c r="H513" s="71">
        <v>39.630000000000003</v>
      </c>
      <c r="I513" s="72"/>
      <c r="J513" s="72">
        <v>273.05</v>
      </c>
      <c r="K513" s="72">
        <f t="shared" si="7"/>
        <v>-273.05</v>
      </c>
      <c r="L513" s="69"/>
      <c r="M513" s="69"/>
      <c r="N513" s="69"/>
    </row>
    <row r="514" spans="1:14" ht="15" customHeight="1" x14ac:dyDescent="0.25">
      <c r="A514" s="68" t="s">
        <v>169</v>
      </c>
      <c r="B514" s="69"/>
      <c r="C514" s="70">
        <v>46035</v>
      </c>
      <c r="D514" s="69"/>
      <c r="E514" s="69" t="s">
        <v>15</v>
      </c>
      <c r="F514" s="69"/>
      <c r="G514" s="69" t="s">
        <v>11</v>
      </c>
      <c r="H514" s="71">
        <v>31.260999999999999</v>
      </c>
      <c r="I514" s="72"/>
      <c r="J514" s="72">
        <v>184.12</v>
      </c>
      <c r="K514" s="72">
        <f t="shared" si="7"/>
        <v>-184.12</v>
      </c>
      <c r="L514" s="69"/>
      <c r="M514" s="69"/>
      <c r="N514" s="69"/>
    </row>
    <row r="515" spans="1:14" ht="15" customHeight="1" x14ac:dyDescent="0.25">
      <c r="A515" s="68" t="s">
        <v>169</v>
      </c>
      <c r="B515" s="69"/>
      <c r="C515" s="70">
        <v>46035</v>
      </c>
      <c r="D515" s="69"/>
      <c r="E515" s="69" t="s">
        <v>15</v>
      </c>
      <c r="F515" s="69"/>
      <c r="G515" s="69" t="s">
        <v>12</v>
      </c>
      <c r="H515" s="71">
        <v>25</v>
      </c>
      <c r="I515" s="72"/>
      <c r="J515" s="72">
        <v>172.25</v>
      </c>
      <c r="K515" s="72">
        <f t="shared" si="7"/>
        <v>-172.25</v>
      </c>
      <c r="L515" s="69"/>
      <c r="M515" s="69"/>
      <c r="N515" s="69"/>
    </row>
    <row r="516" spans="1:14" ht="15" customHeight="1" x14ac:dyDescent="0.25">
      <c r="A516" s="68" t="s">
        <v>169</v>
      </c>
      <c r="B516" s="69"/>
      <c r="C516" s="70">
        <v>46035</v>
      </c>
      <c r="D516" s="69"/>
      <c r="E516" s="69" t="s">
        <v>15</v>
      </c>
      <c r="F516" s="69"/>
      <c r="G516" s="69" t="s">
        <v>11</v>
      </c>
      <c r="H516" s="71">
        <v>194.05099999999999</v>
      </c>
      <c r="I516" s="72"/>
      <c r="J516" s="72">
        <v>1142.96</v>
      </c>
      <c r="K516" s="72">
        <f t="shared" si="7"/>
        <v>-1142.96</v>
      </c>
      <c r="L516" s="69"/>
      <c r="M516" s="69"/>
      <c r="N516" s="69"/>
    </row>
    <row r="517" spans="1:14" ht="15" customHeight="1" x14ac:dyDescent="0.25">
      <c r="A517" s="68" t="s">
        <v>169</v>
      </c>
      <c r="B517" s="69"/>
      <c r="C517" s="70">
        <v>46034</v>
      </c>
      <c r="D517" s="69"/>
      <c r="E517" s="69" t="s">
        <v>15</v>
      </c>
      <c r="F517" s="69"/>
      <c r="G517" s="69" t="s">
        <v>11</v>
      </c>
      <c r="H517" s="71">
        <v>422.9</v>
      </c>
      <c r="I517" s="72"/>
      <c r="J517" s="72">
        <v>2490.88</v>
      </c>
      <c r="K517" s="72">
        <f t="shared" ref="K517:K532" si="8">IFERROR(I517-J517,"")</f>
        <v>-2490.88</v>
      </c>
      <c r="L517" s="69"/>
      <c r="M517" s="69"/>
      <c r="N517" s="69"/>
    </row>
    <row r="518" spans="1:14" ht="15" customHeight="1" x14ac:dyDescent="0.25">
      <c r="A518" s="68" t="s">
        <v>169</v>
      </c>
      <c r="B518" s="69"/>
      <c r="C518" s="70">
        <v>46034</v>
      </c>
      <c r="D518" s="69"/>
      <c r="E518" s="69" t="s">
        <v>15</v>
      </c>
      <c r="F518" s="69"/>
      <c r="G518" s="69" t="s">
        <v>12</v>
      </c>
      <c r="H518" s="71">
        <v>45.63</v>
      </c>
      <c r="I518" s="72"/>
      <c r="J518" s="72">
        <v>314.39</v>
      </c>
      <c r="K518" s="72">
        <f t="shared" si="8"/>
        <v>-314.39</v>
      </c>
      <c r="L518" s="69"/>
      <c r="M518" s="69"/>
      <c r="N518" s="69"/>
    </row>
    <row r="519" spans="1:14" ht="15" customHeight="1" x14ac:dyDescent="0.25">
      <c r="A519" s="68" t="s">
        <v>169</v>
      </c>
      <c r="B519" s="69"/>
      <c r="C519" s="70">
        <v>46034</v>
      </c>
      <c r="D519" s="69"/>
      <c r="E519" s="69" t="s">
        <v>15</v>
      </c>
      <c r="F519" s="69"/>
      <c r="G519" s="69" t="s">
        <v>10</v>
      </c>
      <c r="H519" s="71">
        <v>248.38</v>
      </c>
      <c r="I519" s="72"/>
      <c r="J519" s="72">
        <v>1487.79</v>
      </c>
      <c r="K519" s="72">
        <f t="shared" si="8"/>
        <v>-1487.79</v>
      </c>
      <c r="L519" s="69"/>
      <c r="M519" s="69"/>
      <c r="N519" s="69"/>
    </row>
    <row r="520" spans="1:14" ht="15" customHeight="1" x14ac:dyDescent="0.25">
      <c r="A520" s="68" t="s">
        <v>169</v>
      </c>
      <c r="B520" s="69"/>
      <c r="C520" s="70">
        <v>46034</v>
      </c>
      <c r="D520" s="69"/>
      <c r="E520" s="69" t="s">
        <v>15</v>
      </c>
      <c r="F520" s="69"/>
      <c r="G520" s="69" t="s">
        <v>12</v>
      </c>
      <c r="H520" s="71">
        <v>36.81</v>
      </c>
      <c r="I520" s="72"/>
      <c r="J520" s="72">
        <v>253.62</v>
      </c>
      <c r="K520" s="72">
        <f t="shared" si="8"/>
        <v>-253.62</v>
      </c>
      <c r="L520" s="69"/>
      <c r="M520" s="69"/>
      <c r="N520" s="69"/>
    </row>
    <row r="521" spans="1:14" ht="15" customHeight="1" x14ac:dyDescent="0.25">
      <c r="A521" s="68" t="s">
        <v>169</v>
      </c>
      <c r="B521" s="69"/>
      <c r="C521" s="70">
        <v>46031</v>
      </c>
      <c r="D521" s="69"/>
      <c r="E521" s="69" t="s">
        <v>15</v>
      </c>
      <c r="F521" s="69"/>
      <c r="G521" s="69" t="s">
        <v>11</v>
      </c>
      <c r="H521" s="71">
        <v>472.56</v>
      </c>
      <c r="I521" s="72"/>
      <c r="J521" s="72">
        <v>2783.37</v>
      </c>
      <c r="K521" s="72">
        <f t="shared" si="8"/>
        <v>-2783.37</v>
      </c>
      <c r="L521" s="69"/>
      <c r="M521" s="69"/>
      <c r="N521" s="69"/>
    </row>
    <row r="522" spans="1:14" ht="15" customHeight="1" x14ac:dyDescent="0.25">
      <c r="A522" s="68" t="s">
        <v>169</v>
      </c>
      <c r="B522" s="69"/>
      <c r="C522" s="70">
        <v>46031</v>
      </c>
      <c r="D522" s="69"/>
      <c r="E522" s="69" t="s">
        <v>15</v>
      </c>
      <c r="F522" s="69"/>
      <c r="G522" s="69" t="s">
        <v>11</v>
      </c>
      <c r="H522" s="71">
        <v>362.18099999999998</v>
      </c>
      <c r="I522" s="72"/>
      <c r="J522" s="72">
        <v>2133.2399999999998</v>
      </c>
      <c r="K522" s="72">
        <f t="shared" si="8"/>
        <v>-2133.2399999999998</v>
      </c>
      <c r="L522" s="69"/>
      <c r="M522" s="69"/>
      <c r="N522" s="69"/>
    </row>
    <row r="523" spans="1:14" ht="15" customHeight="1" x14ac:dyDescent="0.25">
      <c r="A523" s="68" t="s">
        <v>169</v>
      </c>
      <c r="B523" s="69"/>
      <c r="C523" s="70">
        <v>46031</v>
      </c>
      <c r="D523" s="69"/>
      <c r="E523" s="69" t="s">
        <v>18</v>
      </c>
      <c r="F523" s="69"/>
      <c r="G523" s="69" t="s">
        <v>10</v>
      </c>
      <c r="H523" s="71">
        <v>685</v>
      </c>
      <c r="I523" s="72"/>
      <c r="J523" s="72">
        <v>4014.1</v>
      </c>
      <c r="K523" s="72">
        <f t="shared" si="8"/>
        <v>-4014.1</v>
      </c>
      <c r="L523" s="69"/>
      <c r="M523" s="69"/>
      <c r="N523" s="69"/>
    </row>
    <row r="524" spans="1:14" ht="15" customHeight="1" x14ac:dyDescent="0.25">
      <c r="A524" s="68" t="s">
        <v>169</v>
      </c>
      <c r="B524" s="69"/>
      <c r="C524" s="70">
        <v>46031</v>
      </c>
      <c r="D524" s="69"/>
      <c r="E524" s="69" t="s">
        <v>18</v>
      </c>
      <c r="F524" s="69"/>
      <c r="G524" s="69" t="s">
        <v>10</v>
      </c>
      <c r="H524" s="71">
        <v>258.20999999999998</v>
      </c>
      <c r="I524" s="72"/>
      <c r="J524" s="72">
        <v>1513.11</v>
      </c>
      <c r="K524" s="72">
        <f t="shared" si="8"/>
        <v>-1513.11</v>
      </c>
      <c r="L524" s="69"/>
      <c r="M524" s="69"/>
      <c r="N524" s="69"/>
    </row>
    <row r="525" spans="1:14" ht="15" customHeight="1" x14ac:dyDescent="0.25">
      <c r="A525" s="68" t="s">
        <v>169</v>
      </c>
      <c r="B525" s="69"/>
      <c r="C525" s="70">
        <v>46031</v>
      </c>
      <c r="D525" s="69"/>
      <c r="E525" s="69" t="s">
        <v>15</v>
      </c>
      <c r="F525" s="69"/>
      <c r="G525" s="69" t="s">
        <v>12</v>
      </c>
      <c r="H525" s="71">
        <v>38.350999999999999</v>
      </c>
      <c r="I525" s="72"/>
      <c r="J525" s="72">
        <v>264.23</v>
      </c>
      <c r="K525" s="72">
        <f t="shared" si="8"/>
        <v>-264.23</v>
      </c>
      <c r="L525" s="69"/>
      <c r="M525" s="69"/>
      <c r="N525" s="69"/>
    </row>
    <row r="526" spans="1:14" ht="15" customHeight="1" x14ac:dyDescent="0.25">
      <c r="A526" s="68" t="s">
        <v>169</v>
      </c>
      <c r="B526" s="69"/>
      <c r="C526" s="70">
        <v>46029</v>
      </c>
      <c r="D526" s="69"/>
      <c r="E526" s="69" t="s">
        <v>15</v>
      </c>
      <c r="F526" s="69"/>
      <c r="G526" s="69" t="s">
        <v>10</v>
      </c>
      <c r="H526" s="71">
        <v>327.56</v>
      </c>
      <c r="I526" s="72"/>
      <c r="J526" s="72">
        <v>1962.08</v>
      </c>
      <c r="K526" s="72">
        <f t="shared" si="8"/>
        <v>-1962.08</v>
      </c>
      <c r="L526" s="69"/>
      <c r="M526" s="69"/>
      <c r="N526" s="69"/>
    </row>
    <row r="527" spans="1:14" ht="15" customHeight="1" x14ac:dyDescent="0.25">
      <c r="A527" s="68" t="s">
        <v>169</v>
      </c>
      <c r="B527" s="69"/>
      <c r="C527" s="70">
        <v>46029</v>
      </c>
      <c r="D527" s="69"/>
      <c r="E527" s="69" t="s">
        <v>15</v>
      </c>
      <c r="F527" s="69"/>
      <c r="G527" s="69" t="s">
        <v>10</v>
      </c>
      <c r="H527" s="71">
        <v>359.23</v>
      </c>
      <c r="I527" s="72"/>
      <c r="J527" s="72">
        <v>2151.7800000000002</v>
      </c>
      <c r="K527" s="72">
        <f t="shared" si="8"/>
        <v>-2151.7800000000002</v>
      </c>
      <c r="L527" s="69"/>
      <c r="M527" s="69"/>
      <c r="N527" s="69"/>
    </row>
    <row r="528" spans="1:14" ht="15" customHeight="1" x14ac:dyDescent="0.25">
      <c r="A528" s="68" t="s">
        <v>169</v>
      </c>
      <c r="B528" s="69"/>
      <c r="C528" s="70">
        <v>46029</v>
      </c>
      <c r="D528" s="69"/>
      <c r="E528" s="69" t="s">
        <v>15</v>
      </c>
      <c r="F528" s="69"/>
      <c r="G528" s="69" t="s">
        <v>11</v>
      </c>
      <c r="H528" s="71">
        <v>390.95</v>
      </c>
      <c r="I528" s="72"/>
      <c r="J528" s="72">
        <v>2302.69</v>
      </c>
      <c r="K528" s="72">
        <f t="shared" si="8"/>
        <v>-2302.69</v>
      </c>
      <c r="L528" s="69"/>
      <c r="M528" s="69"/>
      <c r="N528" s="69"/>
    </row>
    <row r="529" spans="1:14" ht="15" customHeight="1" x14ac:dyDescent="0.25">
      <c r="A529" s="68" t="s">
        <v>169</v>
      </c>
      <c r="B529" s="69"/>
      <c r="C529" s="70">
        <v>46029</v>
      </c>
      <c r="D529" s="69"/>
      <c r="E529" s="69" t="s">
        <v>15</v>
      </c>
      <c r="F529" s="69"/>
      <c r="G529" s="69" t="s">
        <v>12</v>
      </c>
      <c r="H529" s="71">
        <v>50.59</v>
      </c>
      <c r="I529" s="72"/>
      <c r="J529" s="72">
        <v>348.56</v>
      </c>
      <c r="K529" s="72">
        <f t="shared" si="8"/>
        <v>-348.56</v>
      </c>
      <c r="L529" s="69"/>
      <c r="M529" s="69"/>
      <c r="N529" s="69"/>
    </row>
    <row r="530" spans="1:14" ht="15" customHeight="1" x14ac:dyDescent="0.25">
      <c r="A530" s="68" t="s">
        <v>169</v>
      </c>
      <c r="B530" s="69"/>
      <c r="C530" s="70">
        <v>46029</v>
      </c>
      <c r="D530" s="69"/>
      <c r="E530" s="69" t="s">
        <v>15</v>
      </c>
      <c r="F530" s="69"/>
      <c r="G530" s="69" t="s">
        <v>12</v>
      </c>
      <c r="H530" s="71">
        <v>39.51</v>
      </c>
      <c r="I530" s="72"/>
      <c r="J530" s="72">
        <v>272.22000000000003</v>
      </c>
      <c r="K530" s="72">
        <f t="shared" si="8"/>
        <v>-272.22000000000003</v>
      </c>
      <c r="L530" s="69"/>
      <c r="M530" s="69"/>
      <c r="N530" s="69"/>
    </row>
    <row r="531" spans="1:14" ht="15" customHeight="1" x14ac:dyDescent="0.25">
      <c r="A531" s="68" t="s">
        <v>169</v>
      </c>
      <c r="B531" s="69"/>
      <c r="C531" s="70">
        <v>46028</v>
      </c>
      <c r="D531" s="69"/>
      <c r="E531" s="69" t="s">
        <v>15</v>
      </c>
      <c r="F531" s="69"/>
      <c r="G531" s="69" t="s">
        <v>12</v>
      </c>
      <c r="H531" s="71">
        <v>50.970999999999997</v>
      </c>
      <c r="I531" s="72"/>
      <c r="J531" s="72">
        <v>340.99</v>
      </c>
      <c r="K531" s="72">
        <f t="shared" si="8"/>
        <v>-340.99</v>
      </c>
      <c r="L531" s="69"/>
      <c r="M531" s="69"/>
      <c r="N531" s="69"/>
    </row>
    <row r="532" spans="1:14" ht="15" customHeight="1" x14ac:dyDescent="0.25">
      <c r="A532" s="68" t="s">
        <v>169</v>
      </c>
      <c r="B532" s="69"/>
      <c r="C532" s="70">
        <v>46027</v>
      </c>
      <c r="D532" s="69"/>
      <c r="E532" s="69" t="s">
        <v>15</v>
      </c>
      <c r="F532" s="69"/>
      <c r="G532" s="69" t="s">
        <v>11</v>
      </c>
      <c r="H532" s="71">
        <v>334.08100000000002</v>
      </c>
      <c r="I532" s="72"/>
      <c r="J532" s="72">
        <v>1967.73</v>
      </c>
      <c r="K532" s="72">
        <f t="shared" si="8"/>
        <v>-1967.73</v>
      </c>
      <c r="L532" s="69"/>
      <c r="M532" s="69"/>
      <c r="N532" s="69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D5B5"/>
  </sheetPr>
  <dimension ref="A1:M23"/>
  <sheetViews>
    <sheetView showGridLines="0" zoomScaleNormal="100" workbookViewId="0">
      <pane ySplit="3" topLeftCell="A4" activePane="bottomLeft" state="frozen"/>
      <selection pane="bottomLeft" activeCell="I29" sqref="I29"/>
    </sheetView>
  </sheetViews>
  <sheetFormatPr defaultColWidth="8.7109375" defaultRowHeight="15" x14ac:dyDescent="0.25"/>
  <cols>
    <col min="1" max="1" width="18" style="48" customWidth="1"/>
    <col min="2" max="2" width="15.42578125" customWidth="1"/>
    <col min="3" max="3" width="13" customWidth="1"/>
    <col min="4" max="4" width="32" customWidth="1"/>
    <col min="5" max="5" width="22" customWidth="1"/>
    <col min="6" max="6" width="11" customWidth="1"/>
    <col min="7" max="7" width="16" customWidth="1"/>
    <col min="8" max="8" width="10" customWidth="1"/>
    <col min="9" max="10" width="15" customWidth="1"/>
    <col min="11" max="11" width="14" customWidth="1"/>
    <col min="12" max="12" width="28" customWidth="1"/>
    <col min="13" max="13" width="12" customWidth="1"/>
  </cols>
  <sheetData>
    <row r="1" spans="1:13" s="1" customFormat="1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31.5" customHeight="1" x14ac:dyDescent="0.25">
      <c r="A2" s="91" t="s">
        <v>170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21.75" customHeight="1" x14ac:dyDescent="0.25">
      <c r="A3" s="73" t="s">
        <v>120</v>
      </c>
      <c r="B3" s="74" t="s">
        <v>121</v>
      </c>
      <c r="C3" s="74" t="s">
        <v>122</v>
      </c>
      <c r="D3" s="74" t="s">
        <v>123</v>
      </c>
      <c r="E3" s="74" t="s">
        <v>124</v>
      </c>
      <c r="F3" s="74" t="s">
        <v>73</v>
      </c>
      <c r="G3" s="74" t="s">
        <v>114</v>
      </c>
      <c r="H3" s="74" t="s">
        <v>125</v>
      </c>
      <c r="I3" s="74" t="s">
        <v>126</v>
      </c>
      <c r="J3" s="74" t="s">
        <v>127</v>
      </c>
      <c r="K3" s="74" t="s">
        <v>128</v>
      </c>
      <c r="L3" s="74" t="s">
        <v>129</v>
      </c>
      <c r="M3" s="74" t="s">
        <v>130</v>
      </c>
    </row>
    <row r="4" spans="1:13" ht="15" customHeight="1" x14ac:dyDescent="0.25">
      <c r="A4" s="75" t="s">
        <v>142</v>
      </c>
      <c r="B4" s="76">
        <v>46031</v>
      </c>
      <c r="C4" s="76">
        <v>46034</v>
      </c>
      <c r="D4" s="77" t="s">
        <v>133</v>
      </c>
      <c r="E4" s="77" t="s">
        <v>17</v>
      </c>
      <c r="F4" s="98" t="s">
        <v>408</v>
      </c>
      <c r="G4" s="77" t="s">
        <v>12</v>
      </c>
      <c r="H4" s="78">
        <v>40.94</v>
      </c>
      <c r="I4" s="79">
        <v>266.41000000000003</v>
      </c>
      <c r="J4" s="79">
        <v>265.7</v>
      </c>
      <c r="K4" s="79">
        <f t="shared" ref="K4:K16" si="0">I4-J4</f>
        <v>0.71000000000003638</v>
      </c>
      <c r="L4" s="99" t="s">
        <v>409</v>
      </c>
      <c r="M4" s="99" t="s">
        <v>407</v>
      </c>
    </row>
    <row r="5" spans="1:13" ht="15" customHeight="1" x14ac:dyDescent="0.25">
      <c r="A5" s="75" t="s">
        <v>142</v>
      </c>
      <c r="B5" s="76">
        <v>46038</v>
      </c>
      <c r="C5" s="76">
        <v>46038</v>
      </c>
      <c r="D5" s="77" t="s">
        <v>138</v>
      </c>
      <c r="E5" s="77" t="s">
        <v>16</v>
      </c>
      <c r="F5" s="98" t="s">
        <v>408</v>
      </c>
      <c r="G5" s="77" t="s">
        <v>10</v>
      </c>
      <c r="H5" s="78">
        <v>384.09</v>
      </c>
      <c r="I5" s="79">
        <v>2166.2800000000002</v>
      </c>
      <c r="J5" s="79">
        <v>2166.27</v>
      </c>
      <c r="K5" s="79">
        <f t="shared" si="0"/>
        <v>1.0000000000218279E-2</v>
      </c>
      <c r="L5" s="99" t="s">
        <v>409</v>
      </c>
      <c r="M5" s="99" t="s">
        <v>407</v>
      </c>
    </row>
    <row r="6" spans="1:13" ht="15" customHeight="1" x14ac:dyDescent="0.25">
      <c r="A6" s="75" t="s">
        <v>142</v>
      </c>
      <c r="B6" s="76">
        <v>46041</v>
      </c>
      <c r="C6" s="76">
        <v>46041</v>
      </c>
      <c r="D6" s="77" t="s">
        <v>138</v>
      </c>
      <c r="E6" s="77" t="s">
        <v>16</v>
      </c>
      <c r="F6" s="98" t="s">
        <v>408</v>
      </c>
      <c r="G6" s="77" t="s">
        <v>10</v>
      </c>
      <c r="H6" s="78">
        <v>461.75</v>
      </c>
      <c r="I6" s="79">
        <v>2604.2800000000002</v>
      </c>
      <c r="J6" s="79">
        <v>2604.27</v>
      </c>
      <c r="K6" s="79">
        <f t="shared" si="0"/>
        <v>1.0000000000218279E-2</v>
      </c>
      <c r="L6" s="99" t="s">
        <v>409</v>
      </c>
      <c r="M6" s="99" t="s">
        <v>407</v>
      </c>
    </row>
    <row r="7" spans="1:13" ht="15" customHeight="1" x14ac:dyDescent="0.25">
      <c r="A7" s="75" t="s">
        <v>142</v>
      </c>
      <c r="B7" s="76">
        <v>46044</v>
      </c>
      <c r="C7" s="76">
        <v>46044</v>
      </c>
      <c r="D7" s="77" t="s">
        <v>133</v>
      </c>
      <c r="E7" s="77" t="s">
        <v>17</v>
      </c>
      <c r="F7" s="98" t="s">
        <v>408</v>
      </c>
      <c r="G7" s="77" t="s">
        <v>10</v>
      </c>
      <c r="H7" s="78">
        <v>317.02999999999997</v>
      </c>
      <c r="I7" s="79">
        <v>1867.34</v>
      </c>
      <c r="J7" s="79">
        <v>1867.31</v>
      </c>
      <c r="K7" s="79">
        <f t="shared" si="0"/>
        <v>2.9999999999972715E-2</v>
      </c>
      <c r="L7" s="99" t="s">
        <v>409</v>
      </c>
      <c r="M7" s="99" t="s">
        <v>407</v>
      </c>
    </row>
    <row r="8" spans="1:13" ht="15" customHeight="1" x14ac:dyDescent="0.25">
      <c r="A8" s="75" t="s">
        <v>142</v>
      </c>
      <c r="B8" s="76">
        <v>46051</v>
      </c>
      <c r="C8" s="76">
        <v>46051</v>
      </c>
      <c r="D8" s="77" t="s">
        <v>133</v>
      </c>
      <c r="E8" s="77" t="s">
        <v>17</v>
      </c>
      <c r="F8" s="98" t="s">
        <v>408</v>
      </c>
      <c r="G8" s="77" t="s">
        <v>10</v>
      </c>
      <c r="H8" s="78">
        <v>293.74</v>
      </c>
      <c r="I8" s="79">
        <v>1730.1</v>
      </c>
      <c r="J8" s="79">
        <v>1730.13</v>
      </c>
      <c r="K8" s="79">
        <f t="shared" si="0"/>
        <v>-3.0000000000200089E-2</v>
      </c>
      <c r="L8" s="99" t="s">
        <v>409</v>
      </c>
      <c r="M8" s="99" t="s">
        <v>407</v>
      </c>
    </row>
    <row r="9" spans="1:13" ht="15" customHeight="1" x14ac:dyDescent="0.25">
      <c r="A9" s="75" t="s">
        <v>142</v>
      </c>
      <c r="B9" s="76">
        <v>46056</v>
      </c>
      <c r="C9" s="76">
        <v>46056</v>
      </c>
      <c r="D9" s="77" t="s">
        <v>138</v>
      </c>
      <c r="E9" s="77" t="s">
        <v>16</v>
      </c>
      <c r="F9" s="98" t="s">
        <v>408</v>
      </c>
      <c r="G9" s="77" t="s">
        <v>10</v>
      </c>
      <c r="H9" s="78">
        <v>614.02</v>
      </c>
      <c r="I9" s="79">
        <v>3432.38</v>
      </c>
      <c r="J9" s="79">
        <v>3432.37</v>
      </c>
      <c r="K9" s="79">
        <f t="shared" si="0"/>
        <v>1.0000000000218279E-2</v>
      </c>
      <c r="L9" s="99" t="s">
        <v>409</v>
      </c>
      <c r="M9" s="99" t="s">
        <v>407</v>
      </c>
    </row>
    <row r="10" spans="1:13" ht="15" customHeight="1" x14ac:dyDescent="0.25">
      <c r="A10" s="75" t="s">
        <v>142</v>
      </c>
      <c r="B10" s="76">
        <v>46058</v>
      </c>
      <c r="C10" s="76">
        <v>46058</v>
      </c>
      <c r="D10" s="77" t="s">
        <v>138</v>
      </c>
      <c r="E10" s="77" t="s">
        <v>16</v>
      </c>
      <c r="F10" s="98" t="s">
        <v>408</v>
      </c>
      <c r="G10" s="77" t="s">
        <v>10</v>
      </c>
      <c r="H10" s="78">
        <v>533.02</v>
      </c>
      <c r="I10" s="79">
        <v>2979.59</v>
      </c>
      <c r="J10" s="79">
        <v>2979.58</v>
      </c>
      <c r="K10" s="79">
        <f t="shared" si="0"/>
        <v>1.0000000000218279E-2</v>
      </c>
      <c r="L10" s="99" t="s">
        <v>409</v>
      </c>
      <c r="M10" s="99" t="s">
        <v>407</v>
      </c>
    </row>
    <row r="11" spans="1:13" ht="15" customHeight="1" x14ac:dyDescent="0.25">
      <c r="A11" s="75" t="s">
        <v>142</v>
      </c>
      <c r="B11" s="76">
        <v>46064</v>
      </c>
      <c r="C11" s="76">
        <v>46064</v>
      </c>
      <c r="D11" s="77" t="s">
        <v>138</v>
      </c>
      <c r="E11" s="77" t="s">
        <v>16</v>
      </c>
      <c r="F11" s="98" t="s">
        <v>408</v>
      </c>
      <c r="G11" s="77" t="s">
        <v>10</v>
      </c>
      <c r="H11" s="78">
        <v>513.54999999999995</v>
      </c>
      <c r="I11" s="79">
        <v>2870.75</v>
      </c>
      <c r="J11" s="79">
        <v>2870.74</v>
      </c>
      <c r="K11" s="79">
        <f t="shared" si="0"/>
        <v>1.0000000000218279E-2</v>
      </c>
      <c r="L11" s="99" t="s">
        <v>409</v>
      </c>
      <c r="M11" s="99" t="s">
        <v>407</v>
      </c>
    </row>
    <row r="12" spans="1:13" ht="15" customHeight="1" x14ac:dyDescent="0.25">
      <c r="A12" s="75" t="s">
        <v>142</v>
      </c>
      <c r="B12" s="76">
        <v>46079</v>
      </c>
      <c r="C12" s="76">
        <v>46079</v>
      </c>
      <c r="D12" s="77" t="s">
        <v>138</v>
      </c>
      <c r="E12" s="77" t="s">
        <v>16</v>
      </c>
      <c r="F12" s="98" t="s">
        <v>408</v>
      </c>
      <c r="G12" s="77" t="s">
        <v>10</v>
      </c>
      <c r="H12" s="78">
        <v>504.11</v>
      </c>
      <c r="I12" s="79">
        <v>2842.62</v>
      </c>
      <c r="J12" s="79">
        <v>2842.68</v>
      </c>
      <c r="K12" s="79">
        <f t="shared" si="0"/>
        <v>-5.999999999994543E-2</v>
      </c>
      <c r="L12" s="99" t="s">
        <v>409</v>
      </c>
      <c r="M12" s="99" t="s">
        <v>407</v>
      </c>
    </row>
    <row r="13" spans="1:13" ht="15" customHeight="1" x14ac:dyDescent="0.25">
      <c r="A13" s="75" t="s">
        <v>142</v>
      </c>
      <c r="B13" s="76">
        <v>46080</v>
      </c>
      <c r="C13" s="76">
        <v>46080</v>
      </c>
      <c r="D13" s="77" t="s">
        <v>133</v>
      </c>
      <c r="E13" s="77" t="s">
        <v>17</v>
      </c>
      <c r="F13" s="98" t="s">
        <v>408</v>
      </c>
      <c r="G13" s="77" t="s">
        <v>10</v>
      </c>
      <c r="H13" s="78">
        <v>313</v>
      </c>
      <c r="I13" s="79">
        <v>1843.6</v>
      </c>
      <c r="J13" s="79">
        <v>1843.57</v>
      </c>
      <c r="K13" s="79">
        <f t="shared" si="0"/>
        <v>2.9999999999972715E-2</v>
      </c>
      <c r="L13" s="99" t="s">
        <v>409</v>
      </c>
      <c r="M13" s="99" t="s">
        <v>407</v>
      </c>
    </row>
    <row r="14" spans="1:13" ht="15" customHeight="1" x14ac:dyDescent="0.25">
      <c r="A14" s="75" t="s">
        <v>142</v>
      </c>
      <c r="B14" s="76">
        <v>46087</v>
      </c>
      <c r="C14" s="76">
        <v>46087</v>
      </c>
      <c r="D14" s="77" t="s">
        <v>133</v>
      </c>
      <c r="E14" s="77" t="s">
        <v>17</v>
      </c>
      <c r="F14" s="98" t="s">
        <v>408</v>
      </c>
      <c r="G14" s="77" t="s">
        <v>10</v>
      </c>
      <c r="H14" s="78">
        <v>305.01</v>
      </c>
      <c r="I14" s="79">
        <v>1888.04</v>
      </c>
      <c r="J14" s="79">
        <v>1888.01</v>
      </c>
      <c r="K14" s="79">
        <f t="shared" si="0"/>
        <v>2.9999999999972715E-2</v>
      </c>
      <c r="L14" s="99" t="s">
        <v>409</v>
      </c>
      <c r="M14" s="99" t="s">
        <v>407</v>
      </c>
    </row>
    <row r="15" spans="1:13" ht="15" customHeight="1" x14ac:dyDescent="0.25">
      <c r="A15" s="75" t="s">
        <v>142</v>
      </c>
      <c r="B15" s="76">
        <v>46041</v>
      </c>
      <c r="C15" s="76">
        <v>46041</v>
      </c>
      <c r="D15" s="77" t="s">
        <v>138</v>
      </c>
      <c r="E15" s="77" t="s">
        <v>16</v>
      </c>
      <c r="F15" s="98" t="s">
        <v>408</v>
      </c>
      <c r="G15" s="77" t="s">
        <v>6</v>
      </c>
      <c r="H15" s="78">
        <v>39.28</v>
      </c>
      <c r="I15" s="79">
        <v>117.47</v>
      </c>
      <c r="J15" s="79">
        <v>117.49</v>
      </c>
      <c r="K15" s="79">
        <f t="shared" si="0"/>
        <v>-1.9999999999996021E-2</v>
      </c>
      <c r="L15" s="99" t="s">
        <v>409</v>
      </c>
      <c r="M15" s="99" t="s">
        <v>407</v>
      </c>
    </row>
    <row r="16" spans="1:13" ht="15" customHeight="1" x14ac:dyDescent="0.25">
      <c r="A16" s="75" t="s">
        <v>142</v>
      </c>
      <c r="B16" s="76">
        <v>46057</v>
      </c>
      <c r="C16" s="76">
        <v>46057</v>
      </c>
      <c r="D16" s="77" t="s">
        <v>138</v>
      </c>
      <c r="E16" s="77" t="s">
        <v>16</v>
      </c>
      <c r="F16" s="98" t="s">
        <v>408</v>
      </c>
      <c r="G16" s="77" t="s">
        <v>6</v>
      </c>
      <c r="H16" s="78">
        <v>29.34</v>
      </c>
      <c r="I16" s="79">
        <v>87.72</v>
      </c>
      <c r="J16" s="79">
        <v>87.73</v>
      </c>
      <c r="K16" s="79">
        <f t="shared" si="0"/>
        <v>-1.0000000000005116E-2</v>
      </c>
      <c r="L16" s="99" t="s">
        <v>409</v>
      </c>
      <c r="M16" s="99" t="s">
        <v>407</v>
      </c>
    </row>
    <row r="18" spans="1:10" ht="18" customHeight="1" x14ac:dyDescent="0.25">
      <c r="A18" s="91" t="s">
        <v>171</v>
      </c>
      <c r="B18" s="91"/>
      <c r="C18" s="91"/>
      <c r="D18" s="91"/>
      <c r="E18" s="91"/>
      <c r="F18" s="91"/>
      <c r="G18" s="91"/>
      <c r="H18" s="91"/>
      <c r="I18" s="91"/>
      <c r="J18" s="91"/>
    </row>
    <row r="19" spans="1:10" x14ac:dyDescent="0.25">
      <c r="A19" s="93" t="s">
        <v>172</v>
      </c>
      <c r="B19" s="93"/>
      <c r="C19" s="93"/>
      <c r="D19" s="93"/>
      <c r="E19" s="93"/>
      <c r="F19" s="93"/>
      <c r="G19" s="93"/>
      <c r="H19" s="93"/>
      <c r="I19" s="93"/>
    </row>
    <row r="20" spans="1:10" x14ac:dyDescent="0.25">
      <c r="A20" s="73" t="s">
        <v>173</v>
      </c>
      <c r="B20" s="74" t="s">
        <v>174</v>
      </c>
      <c r="C20" s="74" t="s">
        <v>73</v>
      </c>
      <c r="D20" s="74" t="s">
        <v>14</v>
      </c>
      <c r="E20" s="74" t="s">
        <v>114</v>
      </c>
      <c r="F20" s="74" t="s">
        <v>125</v>
      </c>
      <c r="G20" s="74" t="s">
        <v>175</v>
      </c>
      <c r="H20" s="74" t="s">
        <v>129</v>
      </c>
      <c r="I20" s="94" t="s">
        <v>176</v>
      </c>
      <c r="J20" s="94"/>
    </row>
    <row r="21" spans="1:10" x14ac:dyDescent="0.25">
      <c r="A21" s="75">
        <v>10</v>
      </c>
      <c r="B21" s="80">
        <v>46059.788888888899</v>
      </c>
      <c r="C21" s="98" t="s">
        <v>408</v>
      </c>
      <c r="D21" s="77" t="s">
        <v>15</v>
      </c>
      <c r="E21" s="77" t="s">
        <v>6</v>
      </c>
      <c r="F21" s="81">
        <v>69.23</v>
      </c>
      <c r="G21" s="79">
        <v>217.45</v>
      </c>
      <c r="H21" s="99" t="s">
        <v>409</v>
      </c>
      <c r="I21" s="92" t="s">
        <v>177</v>
      </c>
      <c r="J21" s="92"/>
    </row>
    <row r="22" spans="1:10" x14ac:dyDescent="0.25">
      <c r="A22" s="75">
        <v>11</v>
      </c>
      <c r="B22" s="80">
        <v>46059.788194444503</v>
      </c>
      <c r="C22" s="98" t="s">
        <v>408</v>
      </c>
      <c r="D22" s="77" t="s">
        <v>15</v>
      </c>
      <c r="E22" s="77" t="s">
        <v>10</v>
      </c>
      <c r="F22" s="81">
        <v>362.12</v>
      </c>
      <c r="G22" s="79">
        <v>2169.09</v>
      </c>
      <c r="H22" s="99" t="s">
        <v>409</v>
      </c>
      <c r="I22" s="92" t="s">
        <v>177</v>
      </c>
      <c r="J22" s="92"/>
    </row>
    <row r="23" spans="1:10" x14ac:dyDescent="0.25">
      <c r="A23" s="75">
        <v>12</v>
      </c>
      <c r="B23" s="80">
        <v>46059.7368055556</v>
      </c>
      <c r="C23" s="98" t="s">
        <v>408</v>
      </c>
      <c r="D23" s="77" t="s">
        <v>15</v>
      </c>
      <c r="E23" s="77" t="s">
        <v>10</v>
      </c>
      <c r="F23" s="81">
        <v>60</v>
      </c>
      <c r="G23" s="79">
        <v>359.4</v>
      </c>
      <c r="H23" s="99" t="s">
        <v>409</v>
      </c>
      <c r="I23" s="92" t="s">
        <v>177</v>
      </c>
      <c r="J23" s="92"/>
    </row>
  </sheetData>
  <mergeCells count="8">
    <mergeCell ref="I21:J21"/>
    <mergeCell ref="I22:J22"/>
    <mergeCell ref="I23:J23"/>
    <mergeCell ref="A1:M1"/>
    <mergeCell ref="A2:M2"/>
    <mergeCell ref="A18:J18"/>
    <mergeCell ref="A19:I19"/>
    <mergeCell ref="I20:J2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Q121"/>
  <sheetViews>
    <sheetView zoomScaleNormal="100" workbookViewId="0">
      <selection activeCell="B17" sqref="B17"/>
    </sheetView>
  </sheetViews>
  <sheetFormatPr defaultColWidth="9.140625" defaultRowHeight="15" x14ac:dyDescent="0.25"/>
  <cols>
    <col min="1" max="1" width="55.85546875" style="1" customWidth="1"/>
    <col min="2" max="5" width="35.140625" style="1" customWidth="1"/>
    <col min="6" max="7" width="34.85546875" style="1" customWidth="1"/>
    <col min="8" max="16384" width="9.140625" style="1"/>
  </cols>
  <sheetData>
    <row r="1" spans="1:17" ht="34.5" customHeight="1" x14ac:dyDescent="0.25">
      <c r="A1" s="95" t="e" vm="1">
        <v>#VALUE!</v>
      </c>
      <c r="B1" s="95"/>
      <c r="C1" s="95"/>
      <c r="D1" s="95"/>
      <c r="E1" s="95"/>
      <c r="F1" s="95"/>
      <c r="G1" s="95"/>
      <c r="I1" s="82"/>
      <c r="J1" s="82"/>
      <c r="K1" s="82"/>
      <c r="P1" s="96"/>
      <c r="Q1" s="96"/>
    </row>
    <row r="2" spans="1:17" ht="21.75" customHeight="1" x14ac:dyDescent="0.25">
      <c r="A2" s="83" t="s">
        <v>178</v>
      </c>
      <c r="B2" s="83" t="s">
        <v>178</v>
      </c>
      <c r="C2" s="83" t="s">
        <v>179</v>
      </c>
      <c r="D2" s="83" t="s">
        <v>179</v>
      </c>
      <c r="E2" s="83" t="s">
        <v>179</v>
      </c>
      <c r="F2" s="83" t="s">
        <v>179</v>
      </c>
      <c r="G2" s="83" t="s">
        <v>179</v>
      </c>
    </row>
    <row r="3" spans="1:17" x14ac:dyDescent="0.25">
      <c r="A3" s="84" t="s">
        <v>180</v>
      </c>
      <c r="B3" s="84"/>
      <c r="C3" s="84" t="s">
        <v>181</v>
      </c>
      <c r="D3" s="84"/>
      <c r="E3" s="84"/>
      <c r="F3" s="84"/>
      <c r="G3" s="84"/>
    </row>
    <row r="4" spans="1:17" x14ac:dyDescent="0.25">
      <c r="A4" s="85" t="s">
        <v>182</v>
      </c>
      <c r="B4" s="85"/>
      <c r="C4" s="85"/>
      <c r="D4" s="85"/>
      <c r="E4" s="85"/>
      <c r="F4" s="85"/>
      <c r="G4" s="85"/>
    </row>
    <row r="5" spans="1:17" x14ac:dyDescent="0.25">
      <c r="A5" s="84" t="s">
        <v>183</v>
      </c>
      <c r="B5" s="84"/>
      <c r="C5" s="84" t="s">
        <v>184</v>
      </c>
      <c r="D5" s="84"/>
      <c r="E5" s="84"/>
      <c r="F5" s="84"/>
      <c r="G5" s="84"/>
    </row>
    <row r="6" spans="1:17" x14ac:dyDescent="0.25">
      <c r="A6" s="85" t="s">
        <v>185</v>
      </c>
      <c r="B6" s="85"/>
      <c r="C6" s="85" t="s">
        <v>186</v>
      </c>
      <c r="D6" s="85"/>
      <c r="E6" s="85"/>
      <c r="F6" s="85"/>
      <c r="G6" s="85"/>
    </row>
    <row r="7" spans="1:17" x14ac:dyDescent="0.25">
      <c r="A7" s="84" t="s">
        <v>140</v>
      </c>
      <c r="B7" s="84"/>
      <c r="C7" s="84" t="s">
        <v>21</v>
      </c>
      <c r="D7" s="84"/>
      <c r="E7" s="84"/>
      <c r="F7" s="84"/>
      <c r="G7" s="84"/>
    </row>
    <row r="8" spans="1:17" x14ac:dyDescent="0.25">
      <c r="A8" s="85" t="s">
        <v>159</v>
      </c>
      <c r="B8" s="85"/>
      <c r="C8" s="85" t="s">
        <v>187</v>
      </c>
      <c r="D8" s="85"/>
      <c r="E8" s="85"/>
      <c r="F8" s="85"/>
      <c r="G8" s="85"/>
    </row>
    <row r="9" spans="1:17" x14ac:dyDescent="0.25">
      <c r="A9" s="84" t="s">
        <v>188</v>
      </c>
      <c r="B9" s="84"/>
      <c r="C9" s="84" t="s">
        <v>189</v>
      </c>
      <c r="D9" s="84"/>
      <c r="E9" s="84"/>
      <c r="F9" s="84"/>
      <c r="G9" s="84"/>
    </row>
    <row r="10" spans="1:17" x14ac:dyDescent="0.25">
      <c r="A10" s="85" t="s">
        <v>190</v>
      </c>
      <c r="B10" s="85"/>
      <c r="C10" s="85" t="s">
        <v>191</v>
      </c>
      <c r="D10" s="85"/>
      <c r="E10" s="85"/>
      <c r="F10" s="85"/>
      <c r="G10" s="85"/>
    </row>
    <row r="11" spans="1:17" x14ac:dyDescent="0.25">
      <c r="A11" s="84" t="s">
        <v>192</v>
      </c>
      <c r="B11" s="84"/>
      <c r="C11" s="84" t="s">
        <v>193</v>
      </c>
      <c r="D11" s="84"/>
      <c r="E11" s="84"/>
      <c r="F11" s="84"/>
      <c r="G11" s="84"/>
    </row>
    <row r="12" spans="1:17" x14ac:dyDescent="0.25">
      <c r="A12" s="85" t="s">
        <v>194</v>
      </c>
      <c r="B12" s="85"/>
      <c r="C12" s="85" t="s">
        <v>195</v>
      </c>
      <c r="D12" s="85"/>
      <c r="E12" s="85"/>
      <c r="F12" s="85"/>
      <c r="G12" s="85"/>
    </row>
    <row r="13" spans="1:17" x14ac:dyDescent="0.25">
      <c r="A13" s="84" t="s">
        <v>196</v>
      </c>
      <c r="B13" s="84"/>
      <c r="C13" s="84" t="s">
        <v>197</v>
      </c>
      <c r="D13" s="84"/>
      <c r="E13" s="84"/>
      <c r="F13" s="84"/>
      <c r="G13" s="84"/>
    </row>
    <row r="14" spans="1:17" x14ac:dyDescent="0.25">
      <c r="A14" s="85" t="s">
        <v>198</v>
      </c>
      <c r="B14" s="85"/>
      <c r="C14" s="85" t="s">
        <v>199</v>
      </c>
      <c r="D14" s="85"/>
      <c r="E14" s="85"/>
      <c r="F14" s="85"/>
      <c r="G14" s="85"/>
    </row>
    <row r="15" spans="1:17" x14ac:dyDescent="0.25">
      <c r="A15" s="84" t="s">
        <v>200</v>
      </c>
      <c r="B15" s="84"/>
      <c r="C15" s="84" t="s">
        <v>201</v>
      </c>
      <c r="D15" s="84"/>
      <c r="E15" s="84"/>
      <c r="F15" s="84"/>
      <c r="G15" s="84"/>
    </row>
    <row r="16" spans="1:17" x14ac:dyDescent="0.25">
      <c r="A16" s="85" t="s">
        <v>202</v>
      </c>
      <c r="B16" s="85"/>
      <c r="C16" s="85" t="s">
        <v>203</v>
      </c>
      <c r="D16" s="85"/>
      <c r="E16" s="85"/>
      <c r="F16" s="85"/>
      <c r="G16" s="85"/>
    </row>
    <row r="17" spans="1:7" x14ac:dyDescent="0.25">
      <c r="A17" s="84" t="s">
        <v>204</v>
      </c>
      <c r="B17" s="84"/>
      <c r="C17" s="84" t="s">
        <v>205</v>
      </c>
      <c r="D17" s="84"/>
      <c r="E17" s="84"/>
      <c r="F17" s="84"/>
      <c r="G17" s="84"/>
    </row>
    <row r="18" spans="1:7" x14ac:dyDescent="0.25">
      <c r="A18" s="85" t="s">
        <v>206</v>
      </c>
      <c r="B18" s="85"/>
      <c r="C18" s="85" t="s">
        <v>207</v>
      </c>
      <c r="D18" s="85"/>
      <c r="E18" s="85"/>
      <c r="F18" s="85"/>
      <c r="G18" s="85"/>
    </row>
    <row r="19" spans="1:7" x14ac:dyDescent="0.25">
      <c r="A19" s="84" t="s">
        <v>208</v>
      </c>
      <c r="B19" s="84"/>
      <c r="C19" s="84" t="s">
        <v>209</v>
      </c>
      <c r="D19" s="84"/>
      <c r="E19" s="84"/>
      <c r="F19" s="84"/>
      <c r="G19" s="84"/>
    </row>
    <row r="20" spans="1:7" x14ac:dyDescent="0.25">
      <c r="A20" s="85" t="s">
        <v>210</v>
      </c>
      <c r="B20" s="85"/>
      <c r="C20" s="85" t="s">
        <v>211</v>
      </c>
      <c r="D20" s="85"/>
      <c r="E20" s="85"/>
      <c r="F20" s="85"/>
      <c r="G20" s="85"/>
    </row>
    <row r="21" spans="1:7" x14ac:dyDescent="0.25">
      <c r="A21" s="84" t="s">
        <v>212</v>
      </c>
      <c r="B21" s="84"/>
      <c r="C21" s="84" t="s">
        <v>213</v>
      </c>
      <c r="D21" s="84"/>
      <c r="E21" s="84"/>
      <c r="F21" s="84"/>
      <c r="G21" s="84"/>
    </row>
    <row r="22" spans="1:7" x14ac:dyDescent="0.25">
      <c r="A22" s="85" t="s">
        <v>214</v>
      </c>
      <c r="B22" s="85"/>
      <c r="C22" s="85" t="s">
        <v>215</v>
      </c>
      <c r="D22" s="85"/>
      <c r="E22" s="85"/>
      <c r="F22" s="85"/>
      <c r="G22" s="85"/>
    </row>
    <row r="23" spans="1:7" x14ac:dyDescent="0.25">
      <c r="A23" s="84" t="s">
        <v>216</v>
      </c>
      <c r="B23" s="84"/>
      <c r="C23" s="84" t="s">
        <v>217</v>
      </c>
      <c r="D23" s="84"/>
      <c r="E23" s="84"/>
      <c r="F23" s="84"/>
      <c r="G23" s="84"/>
    </row>
    <row r="24" spans="1:7" x14ac:dyDescent="0.25">
      <c r="A24" s="85" t="s">
        <v>218</v>
      </c>
      <c r="B24" s="85"/>
      <c r="C24" s="85" t="s">
        <v>219</v>
      </c>
      <c r="D24" s="85"/>
      <c r="E24" s="85"/>
      <c r="F24" s="85"/>
      <c r="G24" s="85"/>
    </row>
    <row r="25" spans="1:7" x14ac:dyDescent="0.25">
      <c r="A25" s="84" t="s">
        <v>143</v>
      </c>
      <c r="B25" s="84"/>
      <c r="C25" s="84" t="s">
        <v>220</v>
      </c>
      <c r="D25" s="84"/>
      <c r="E25" s="84"/>
      <c r="F25" s="84"/>
      <c r="G25" s="84"/>
    </row>
    <row r="26" spans="1:7" x14ac:dyDescent="0.25">
      <c r="A26" s="85" t="s">
        <v>221</v>
      </c>
      <c r="B26" s="85"/>
      <c r="C26" s="85" t="s">
        <v>222</v>
      </c>
      <c r="D26" s="85"/>
      <c r="E26" s="85"/>
      <c r="F26" s="85"/>
      <c r="G26" s="85"/>
    </row>
    <row r="27" spans="1:7" x14ac:dyDescent="0.25">
      <c r="A27" s="84" t="s">
        <v>223</v>
      </c>
      <c r="B27" s="84"/>
      <c r="C27" s="84" t="s">
        <v>224</v>
      </c>
      <c r="D27" s="84"/>
      <c r="E27" s="84"/>
      <c r="F27" s="84"/>
      <c r="G27" s="84"/>
    </row>
    <row r="28" spans="1:7" x14ac:dyDescent="0.25">
      <c r="A28" s="85" t="s">
        <v>138</v>
      </c>
      <c r="B28" s="85"/>
      <c r="C28" s="85" t="s">
        <v>16</v>
      </c>
      <c r="D28" s="85" t="s">
        <v>225</v>
      </c>
      <c r="E28" s="85"/>
      <c r="F28" s="85"/>
      <c r="G28" s="85"/>
    </row>
    <row r="29" spans="1:7" x14ac:dyDescent="0.25">
      <c r="A29" s="84" t="s">
        <v>226</v>
      </c>
      <c r="B29" s="84"/>
      <c r="C29" s="84" t="s">
        <v>227</v>
      </c>
      <c r="D29" s="84"/>
      <c r="E29" s="84"/>
      <c r="F29" s="84"/>
      <c r="G29" s="84"/>
    </row>
    <row r="30" spans="1:7" x14ac:dyDescent="0.25">
      <c r="A30" s="85" t="s">
        <v>228</v>
      </c>
      <c r="B30" s="85"/>
      <c r="C30" s="85" t="s">
        <v>229</v>
      </c>
      <c r="D30" s="85"/>
      <c r="E30" s="85"/>
      <c r="F30" s="85"/>
      <c r="G30" s="85"/>
    </row>
    <row r="31" spans="1:7" x14ac:dyDescent="0.25">
      <c r="A31" s="84" t="s">
        <v>230</v>
      </c>
      <c r="B31" s="84"/>
      <c r="C31" s="84" t="s">
        <v>231</v>
      </c>
      <c r="D31" s="84"/>
      <c r="E31" s="84"/>
      <c r="F31" s="84"/>
      <c r="G31" s="84"/>
    </row>
    <row r="32" spans="1:7" x14ac:dyDescent="0.25">
      <c r="A32" s="85" t="s">
        <v>162</v>
      </c>
      <c r="B32" s="85"/>
      <c r="C32" s="85" t="s">
        <v>232</v>
      </c>
      <c r="D32" s="85"/>
      <c r="E32" s="85"/>
      <c r="F32" s="85"/>
      <c r="G32" s="85"/>
    </row>
    <row r="33" spans="1:7" x14ac:dyDescent="0.25">
      <c r="A33" s="84" t="s">
        <v>233</v>
      </c>
      <c r="B33" s="84"/>
      <c r="C33" s="84" t="s">
        <v>234</v>
      </c>
      <c r="D33" s="84"/>
      <c r="E33" s="84"/>
      <c r="F33" s="84"/>
      <c r="G33" s="84"/>
    </row>
    <row r="34" spans="1:7" x14ac:dyDescent="0.25">
      <c r="A34" s="85" t="s">
        <v>235</v>
      </c>
      <c r="B34" s="85" t="s">
        <v>236</v>
      </c>
      <c r="C34" s="85" t="s">
        <v>237</v>
      </c>
      <c r="D34" s="85"/>
      <c r="E34" s="85"/>
      <c r="F34" s="85"/>
      <c r="G34" s="85"/>
    </row>
    <row r="35" spans="1:7" x14ac:dyDescent="0.25">
      <c r="A35" s="84" t="s">
        <v>238</v>
      </c>
      <c r="B35" s="84"/>
      <c r="C35" s="84" t="s">
        <v>239</v>
      </c>
      <c r="D35" s="84"/>
      <c r="E35" s="84"/>
      <c r="F35" s="84"/>
      <c r="G35" s="84"/>
    </row>
    <row r="36" spans="1:7" x14ac:dyDescent="0.25">
      <c r="A36" s="85" t="s">
        <v>240</v>
      </c>
      <c r="B36" s="85"/>
      <c r="C36" s="85" t="s">
        <v>241</v>
      </c>
      <c r="D36" s="85"/>
      <c r="E36" s="85"/>
      <c r="F36" s="85"/>
      <c r="G36" s="85"/>
    </row>
    <row r="37" spans="1:7" x14ac:dyDescent="0.25">
      <c r="A37" s="84" t="s">
        <v>242</v>
      </c>
      <c r="B37" s="84"/>
      <c r="C37" s="84" t="s">
        <v>243</v>
      </c>
      <c r="D37" s="84"/>
      <c r="E37" s="84"/>
      <c r="F37" s="84"/>
      <c r="G37" s="84"/>
    </row>
    <row r="38" spans="1:7" x14ac:dyDescent="0.25">
      <c r="A38" s="85" t="s">
        <v>161</v>
      </c>
      <c r="B38" s="85"/>
      <c r="C38" s="85" t="s">
        <v>244</v>
      </c>
      <c r="D38" s="85"/>
      <c r="E38" s="85"/>
      <c r="F38" s="85"/>
      <c r="G38" s="85"/>
    </row>
    <row r="39" spans="1:7" x14ac:dyDescent="0.25">
      <c r="A39" s="84" t="s">
        <v>245</v>
      </c>
      <c r="B39" s="84"/>
      <c r="C39" s="84" t="s">
        <v>246</v>
      </c>
      <c r="D39" s="84"/>
      <c r="E39" s="84"/>
      <c r="F39" s="84"/>
      <c r="G39" s="84"/>
    </row>
    <row r="40" spans="1:7" x14ac:dyDescent="0.25">
      <c r="A40" s="85" t="s">
        <v>150</v>
      </c>
      <c r="B40" s="85"/>
      <c r="C40" s="85" t="s">
        <v>247</v>
      </c>
      <c r="D40" s="85"/>
      <c r="E40" s="85"/>
      <c r="F40" s="85"/>
      <c r="G40" s="85"/>
    </row>
    <row r="41" spans="1:7" x14ac:dyDescent="0.25">
      <c r="A41" s="84" t="s">
        <v>248</v>
      </c>
      <c r="B41" s="84"/>
      <c r="C41" s="84" t="s">
        <v>249</v>
      </c>
      <c r="D41" s="84"/>
      <c r="E41" s="84"/>
      <c r="F41" s="84"/>
      <c r="G41" s="84"/>
    </row>
    <row r="42" spans="1:7" x14ac:dyDescent="0.25">
      <c r="A42" s="85" t="s">
        <v>250</v>
      </c>
      <c r="B42" s="85"/>
      <c r="C42" s="85" t="s">
        <v>251</v>
      </c>
      <c r="D42" s="85"/>
      <c r="E42" s="85"/>
      <c r="F42" s="85"/>
      <c r="G42" s="85"/>
    </row>
    <row r="43" spans="1:7" x14ac:dyDescent="0.25">
      <c r="A43" s="84" t="s">
        <v>252</v>
      </c>
      <c r="B43" s="84"/>
      <c r="C43" s="84" t="s">
        <v>253</v>
      </c>
      <c r="D43" s="84"/>
      <c r="E43" s="84"/>
      <c r="F43" s="84"/>
      <c r="G43" s="84"/>
    </row>
    <row r="44" spans="1:7" x14ac:dyDescent="0.25">
      <c r="A44" s="85" t="s">
        <v>254</v>
      </c>
      <c r="B44" s="85"/>
      <c r="C44" s="85" t="s">
        <v>255</v>
      </c>
      <c r="D44" s="85"/>
      <c r="E44" s="85"/>
      <c r="F44" s="85"/>
      <c r="G44" s="85"/>
    </row>
    <row r="45" spans="1:7" x14ac:dyDescent="0.25">
      <c r="A45" s="84" t="s">
        <v>256</v>
      </c>
      <c r="B45" s="84"/>
      <c r="C45" s="84" t="s">
        <v>257</v>
      </c>
      <c r="D45" s="84"/>
      <c r="E45" s="84"/>
      <c r="F45" s="84"/>
      <c r="G45" s="84"/>
    </row>
    <row r="46" spans="1:7" x14ac:dyDescent="0.25">
      <c r="A46" s="85" t="s">
        <v>258</v>
      </c>
      <c r="B46" s="85"/>
      <c r="C46" s="85" t="s">
        <v>259</v>
      </c>
      <c r="D46" s="85"/>
      <c r="E46" s="85"/>
      <c r="F46" s="85"/>
      <c r="G46" s="85"/>
    </row>
    <row r="47" spans="1:7" x14ac:dyDescent="0.25">
      <c r="A47" s="84" t="s">
        <v>151</v>
      </c>
      <c r="B47" s="84" t="s">
        <v>260</v>
      </c>
      <c r="C47" s="84" t="s">
        <v>261</v>
      </c>
      <c r="D47" s="84" t="s">
        <v>262</v>
      </c>
      <c r="E47" s="84" t="s">
        <v>263</v>
      </c>
      <c r="F47" s="84" t="s">
        <v>264</v>
      </c>
      <c r="G47" s="84"/>
    </row>
    <row r="48" spans="1:7" x14ac:dyDescent="0.25">
      <c r="A48" s="85" t="s">
        <v>265</v>
      </c>
      <c r="B48" s="85"/>
      <c r="C48" s="85" t="s">
        <v>266</v>
      </c>
      <c r="D48" s="85"/>
      <c r="E48" s="85"/>
      <c r="F48" s="85"/>
      <c r="G48" s="85"/>
    </row>
    <row r="49" spans="1:7" x14ac:dyDescent="0.25">
      <c r="A49" s="84" t="s">
        <v>267</v>
      </c>
      <c r="B49" s="84"/>
      <c r="C49" s="84" t="s">
        <v>268</v>
      </c>
      <c r="D49" s="84"/>
      <c r="E49" s="84"/>
      <c r="F49" s="84"/>
      <c r="G49" s="84"/>
    </row>
    <row r="50" spans="1:7" x14ac:dyDescent="0.25">
      <c r="A50" s="85" t="s">
        <v>269</v>
      </c>
      <c r="B50" s="85"/>
      <c r="C50" s="85" t="s">
        <v>270</v>
      </c>
      <c r="D50" s="85"/>
      <c r="E50" s="85"/>
      <c r="F50" s="85"/>
      <c r="G50" s="85"/>
    </row>
    <row r="51" spans="1:7" x14ac:dyDescent="0.25">
      <c r="A51" s="84" t="s">
        <v>271</v>
      </c>
      <c r="B51" s="84"/>
      <c r="C51" s="84" t="s">
        <v>272</v>
      </c>
      <c r="D51" s="84"/>
      <c r="E51" s="84"/>
      <c r="F51" s="84"/>
      <c r="G51" s="84"/>
    </row>
    <row r="52" spans="1:7" x14ac:dyDescent="0.25">
      <c r="A52" s="85" t="s">
        <v>137</v>
      </c>
      <c r="B52" s="85"/>
      <c r="C52" s="85" t="s">
        <v>273</v>
      </c>
      <c r="D52" s="85"/>
      <c r="E52" s="85"/>
      <c r="F52" s="85"/>
      <c r="G52" s="85"/>
    </row>
    <row r="53" spans="1:7" x14ac:dyDescent="0.25">
      <c r="A53" s="84" t="s">
        <v>274</v>
      </c>
      <c r="B53" s="84"/>
      <c r="C53" s="84" t="s">
        <v>275</v>
      </c>
      <c r="D53" s="84"/>
      <c r="E53" s="84"/>
      <c r="F53" s="84"/>
      <c r="G53" s="84"/>
    </row>
    <row r="54" spans="1:7" x14ac:dyDescent="0.25">
      <c r="A54" s="85" t="s">
        <v>276</v>
      </c>
      <c r="B54" s="85"/>
      <c r="C54" s="85" t="s">
        <v>277</v>
      </c>
      <c r="D54" s="85"/>
      <c r="E54" s="85"/>
      <c r="F54" s="85"/>
      <c r="G54" s="85"/>
    </row>
    <row r="55" spans="1:7" x14ac:dyDescent="0.25">
      <c r="A55" s="84" t="s">
        <v>135</v>
      </c>
      <c r="B55" s="84"/>
      <c r="C55" s="84" t="s">
        <v>277</v>
      </c>
      <c r="D55" s="84"/>
      <c r="E55" s="84"/>
      <c r="F55" s="84"/>
      <c r="G55" s="84"/>
    </row>
    <row r="56" spans="1:7" x14ac:dyDescent="0.25">
      <c r="A56" s="85" t="s">
        <v>278</v>
      </c>
      <c r="B56" s="85" t="s">
        <v>133</v>
      </c>
      <c r="C56" s="85" t="s">
        <v>279</v>
      </c>
      <c r="D56" s="85"/>
      <c r="E56" s="85"/>
      <c r="F56" s="85"/>
      <c r="G56" s="85"/>
    </row>
    <row r="57" spans="1:7" x14ac:dyDescent="0.25">
      <c r="A57" s="84" t="s">
        <v>280</v>
      </c>
      <c r="B57" s="84"/>
      <c r="C57" s="84" t="s">
        <v>281</v>
      </c>
      <c r="D57" s="84"/>
      <c r="E57" s="84"/>
      <c r="F57" s="84"/>
      <c r="G57" s="84"/>
    </row>
    <row r="58" spans="1:7" x14ac:dyDescent="0.25">
      <c r="A58" s="85" t="s">
        <v>282</v>
      </c>
      <c r="B58" s="85"/>
      <c r="C58" s="85" t="s">
        <v>283</v>
      </c>
      <c r="D58" s="85"/>
      <c r="E58" s="85"/>
      <c r="F58" s="85"/>
      <c r="G58" s="85"/>
    </row>
    <row r="59" spans="1:7" x14ac:dyDescent="0.25">
      <c r="A59" s="84" t="s">
        <v>284</v>
      </c>
      <c r="B59" s="84"/>
      <c r="C59" s="84" t="s">
        <v>285</v>
      </c>
      <c r="D59" s="84"/>
      <c r="E59" s="84"/>
      <c r="F59" s="84"/>
      <c r="G59" s="84"/>
    </row>
    <row r="60" spans="1:7" x14ac:dyDescent="0.25">
      <c r="A60" s="85" t="s">
        <v>286</v>
      </c>
      <c r="B60" s="85"/>
      <c r="C60" s="85" t="s">
        <v>287</v>
      </c>
      <c r="D60" s="85"/>
      <c r="E60" s="85"/>
      <c r="F60" s="85"/>
      <c r="G60" s="85"/>
    </row>
    <row r="61" spans="1:7" x14ac:dyDescent="0.25">
      <c r="A61" s="84" t="s">
        <v>288</v>
      </c>
      <c r="B61" s="84"/>
      <c r="C61" s="84" t="s">
        <v>289</v>
      </c>
      <c r="D61" s="84"/>
      <c r="E61" s="84"/>
      <c r="F61" s="84"/>
      <c r="G61" s="84"/>
    </row>
    <row r="62" spans="1:7" x14ac:dyDescent="0.25">
      <c r="A62" s="85" t="s">
        <v>290</v>
      </c>
      <c r="B62" s="85"/>
      <c r="C62" s="85" t="s">
        <v>291</v>
      </c>
      <c r="D62" s="85"/>
      <c r="E62" s="85"/>
      <c r="F62" s="85"/>
      <c r="G62" s="85"/>
    </row>
    <row r="63" spans="1:7" x14ac:dyDescent="0.25">
      <c r="A63" s="84" t="s">
        <v>292</v>
      </c>
      <c r="B63" s="84"/>
      <c r="C63" s="84" t="s">
        <v>293</v>
      </c>
      <c r="D63" s="84"/>
      <c r="E63" s="84"/>
      <c r="F63" s="84"/>
      <c r="G63" s="84"/>
    </row>
    <row r="64" spans="1:7" x14ac:dyDescent="0.25">
      <c r="A64" s="85" t="s">
        <v>294</v>
      </c>
      <c r="B64" s="85"/>
      <c r="C64" s="85" t="s">
        <v>295</v>
      </c>
      <c r="D64" s="85"/>
      <c r="E64" s="85"/>
      <c r="F64" s="85"/>
      <c r="G64" s="85"/>
    </row>
    <row r="65" spans="1:7" x14ac:dyDescent="0.25">
      <c r="A65" s="84" t="s">
        <v>296</v>
      </c>
      <c r="B65" s="84"/>
      <c r="C65" s="84" t="s">
        <v>297</v>
      </c>
      <c r="D65" s="84"/>
      <c r="E65" s="84"/>
      <c r="F65" s="84"/>
      <c r="G65" s="84"/>
    </row>
    <row r="66" spans="1:7" x14ac:dyDescent="0.25">
      <c r="A66" s="85" t="s">
        <v>298</v>
      </c>
      <c r="B66" s="85"/>
      <c r="C66" s="85" t="s">
        <v>299</v>
      </c>
      <c r="D66" s="85"/>
      <c r="E66" s="85"/>
      <c r="F66" s="85"/>
      <c r="G66" s="85"/>
    </row>
    <row r="67" spans="1:7" x14ac:dyDescent="0.25">
      <c r="A67" s="84" t="s">
        <v>300</v>
      </c>
      <c r="B67" s="84"/>
      <c r="C67" s="84" t="s">
        <v>301</v>
      </c>
      <c r="D67" s="84"/>
      <c r="E67" s="84"/>
      <c r="F67" s="84"/>
      <c r="G67" s="84"/>
    </row>
    <row r="68" spans="1:7" x14ac:dyDescent="0.25">
      <c r="A68" s="85" t="s">
        <v>302</v>
      </c>
      <c r="B68" s="85"/>
      <c r="C68" s="85" t="s">
        <v>303</v>
      </c>
      <c r="D68" s="85"/>
      <c r="E68" s="85"/>
      <c r="F68" s="85"/>
      <c r="G68" s="85"/>
    </row>
    <row r="69" spans="1:7" x14ac:dyDescent="0.25">
      <c r="A69" s="84" t="s">
        <v>304</v>
      </c>
      <c r="B69" s="84"/>
      <c r="C69" s="84" t="s">
        <v>305</v>
      </c>
      <c r="D69" s="84"/>
      <c r="E69" s="84"/>
      <c r="F69" s="84"/>
      <c r="G69" s="84"/>
    </row>
    <row r="70" spans="1:7" x14ac:dyDescent="0.25">
      <c r="A70" s="85" t="s">
        <v>306</v>
      </c>
      <c r="B70" s="85"/>
      <c r="C70" s="85" t="s">
        <v>307</v>
      </c>
      <c r="D70" s="85"/>
      <c r="E70" s="85"/>
      <c r="F70" s="85"/>
      <c r="G70" s="85"/>
    </row>
    <row r="71" spans="1:7" x14ac:dyDescent="0.25">
      <c r="A71" s="84" t="s">
        <v>308</v>
      </c>
      <c r="B71" s="84" t="s">
        <v>309</v>
      </c>
      <c r="C71" s="84" t="s">
        <v>310</v>
      </c>
      <c r="D71" s="84"/>
      <c r="E71" s="84"/>
      <c r="F71" s="84"/>
      <c r="G71" s="84"/>
    </row>
    <row r="72" spans="1:7" x14ac:dyDescent="0.25">
      <c r="A72" s="85" t="s">
        <v>311</v>
      </c>
      <c r="B72" s="85"/>
      <c r="C72" s="85" t="s">
        <v>312</v>
      </c>
      <c r="D72" s="85"/>
      <c r="E72" s="85"/>
      <c r="F72" s="85"/>
      <c r="G72" s="85"/>
    </row>
    <row r="73" spans="1:7" x14ac:dyDescent="0.25">
      <c r="A73" s="84" t="s">
        <v>313</v>
      </c>
      <c r="B73" s="84"/>
      <c r="C73" s="84" t="s">
        <v>314</v>
      </c>
      <c r="D73" s="84"/>
      <c r="E73" s="84"/>
      <c r="F73" s="84"/>
      <c r="G73" s="84"/>
    </row>
    <row r="74" spans="1:7" x14ac:dyDescent="0.25">
      <c r="A74" s="85" t="s">
        <v>315</v>
      </c>
      <c r="B74" s="85"/>
      <c r="C74" s="85" t="s">
        <v>316</v>
      </c>
      <c r="D74" s="85"/>
      <c r="E74" s="85"/>
      <c r="F74" s="85"/>
      <c r="G74" s="85"/>
    </row>
    <row r="75" spans="1:7" x14ac:dyDescent="0.25">
      <c r="A75" s="84" t="s">
        <v>317</v>
      </c>
      <c r="B75" s="84"/>
      <c r="C75" s="84" t="s">
        <v>318</v>
      </c>
      <c r="D75" s="84"/>
      <c r="E75" s="84"/>
      <c r="F75" s="84"/>
      <c r="G75" s="84"/>
    </row>
    <row r="76" spans="1:7" x14ac:dyDescent="0.25">
      <c r="A76" s="85" t="s">
        <v>156</v>
      </c>
      <c r="B76" s="85"/>
      <c r="C76" s="85" t="s">
        <v>319</v>
      </c>
      <c r="D76" s="85"/>
      <c r="E76" s="85"/>
      <c r="F76" s="85"/>
      <c r="G76" s="85"/>
    </row>
    <row r="77" spans="1:7" x14ac:dyDescent="0.25">
      <c r="A77" s="84" t="s">
        <v>320</v>
      </c>
      <c r="B77" s="84"/>
      <c r="C77" s="84" t="s">
        <v>321</v>
      </c>
      <c r="D77" s="84"/>
      <c r="E77" s="84"/>
      <c r="F77" s="84"/>
      <c r="G77" s="84"/>
    </row>
    <row r="78" spans="1:7" x14ac:dyDescent="0.25">
      <c r="A78" s="85" t="s">
        <v>322</v>
      </c>
      <c r="B78" s="85"/>
      <c r="C78" s="85" t="s">
        <v>323</v>
      </c>
      <c r="D78" s="85"/>
      <c r="E78" s="85"/>
      <c r="F78" s="85"/>
      <c r="G78" s="85"/>
    </row>
    <row r="79" spans="1:7" x14ac:dyDescent="0.25">
      <c r="A79" s="84" t="s">
        <v>154</v>
      </c>
      <c r="B79" s="84"/>
      <c r="C79" s="84" t="s">
        <v>324</v>
      </c>
      <c r="D79" s="84"/>
      <c r="E79" s="84"/>
      <c r="F79" s="84"/>
      <c r="G79" s="84"/>
    </row>
    <row r="80" spans="1:7" x14ac:dyDescent="0.25">
      <c r="A80" s="85" t="s">
        <v>325</v>
      </c>
      <c r="B80" s="85"/>
      <c r="C80" s="85" t="s">
        <v>326</v>
      </c>
      <c r="D80" s="85"/>
      <c r="E80" s="85"/>
      <c r="F80" s="85"/>
      <c r="G80" s="85"/>
    </row>
    <row r="81" spans="1:7" x14ac:dyDescent="0.25">
      <c r="A81" s="84" t="s">
        <v>139</v>
      </c>
      <c r="B81" s="84" t="s">
        <v>327</v>
      </c>
      <c r="C81" s="84" t="s">
        <v>328</v>
      </c>
      <c r="D81" s="84" t="s">
        <v>329</v>
      </c>
      <c r="E81" s="84"/>
      <c r="F81" s="84"/>
      <c r="G81" s="84"/>
    </row>
    <row r="82" spans="1:7" x14ac:dyDescent="0.25">
      <c r="A82" s="85" t="s">
        <v>147</v>
      </c>
      <c r="B82" s="85"/>
      <c r="C82" s="85" t="s">
        <v>330</v>
      </c>
      <c r="D82" s="85"/>
      <c r="E82" s="85"/>
      <c r="F82" s="85"/>
      <c r="G82" s="85"/>
    </row>
    <row r="83" spans="1:7" x14ac:dyDescent="0.25">
      <c r="A83" s="84" t="s">
        <v>146</v>
      </c>
      <c r="B83" s="84"/>
      <c r="C83" s="84" t="s">
        <v>19</v>
      </c>
      <c r="D83" s="84"/>
      <c r="E83" s="84"/>
      <c r="F83" s="84"/>
      <c r="G83" s="84"/>
    </row>
    <row r="84" spans="1:7" x14ac:dyDescent="0.25">
      <c r="A84" s="85" t="s">
        <v>331</v>
      </c>
      <c r="B84" s="85"/>
      <c r="C84" s="85" t="s">
        <v>332</v>
      </c>
      <c r="D84" s="85"/>
      <c r="E84" s="85"/>
      <c r="F84" s="85"/>
      <c r="G84" s="85"/>
    </row>
    <row r="85" spans="1:7" x14ac:dyDescent="0.25">
      <c r="A85" s="84" t="s">
        <v>157</v>
      </c>
      <c r="B85" s="84"/>
      <c r="C85" s="84" t="s">
        <v>333</v>
      </c>
      <c r="D85" s="84"/>
      <c r="E85" s="84"/>
      <c r="F85" s="84"/>
      <c r="G85" s="84"/>
    </row>
    <row r="86" spans="1:7" x14ac:dyDescent="0.25">
      <c r="A86" s="85" t="s">
        <v>334</v>
      </c>
      <c r="B86" s="85"/>
      <c r="C86" s="85" t="s">
        <v>335</v>
      </c>
      <c r="D86" s="85"/>
      <c r="E86" s="85"/>
      <c r="F86" s="85"/>
      <c r="G86" s="85"/>
    </row>
    <row r="87" spans="1:7" x14ac:dyDescent="0.25">
      <c r="A87" s="84" t="s">
        <v>336</v>
      </c>
      <c r="B87" s="84"/>
      <c r="C87" s="84" t="s">
        <v>337</v>
      </c>
      <c r="D87" s="84"/>
      <c r="E87" s="84"/>
      <c r="F87" s="84"/>
      <c r="G87" s="84"/>
    </row>
    <row r="88" spans="1:7" x14ac:dyDescent="0.25">
      <c r="A88" s="85" t="s">
        <v>338</v>
      </c>
      <c r="B88" s="85"/>
      <c r="C88" s="85" t="s">
        <v>339</v>
      </c>
      <c r="D88" s="85"/>
      <c r="E88" s="85"/>
      <c r="F88" s="85"/>
      <c r="G88" s="85"/>
    </row>
    <row r="89" spans="1:7" x14ac:dyDescent="0.25">
      <c r="A89" s="84" t="s">
        <v>340</v>
      </c>
      <c r="B89" s="84"/>
      <c r="C89" s="84" t="s">
        <v>341</v>
      </c>
      <c r="D89" s="84"/>
      <c r="E89" s="84"/>
      <c r="F89" s="84"/>
      <c r="G89" s="84"/>
    </row>
    <row r="90" spans="1:7" x14ac:dyDescent="0.25">
      <c r="A90" s="85" t="s">
        <v>141</v>
      </c>
      <c r="B90" s="85"/>
      <c r="C90" s="85" t="s">
        <v>342</v>
      </c>
      <c r="D90" s="85"/>
      <c r="E90" s="85"/>
      <c r="F90" s="85"/>
      <c r="G90" s="85"/>
    </row>
    <row r="91" spans="1:7" x14ac:dyDescent="0.25">
      <c r="A91" s="84" t="s">
        <v>343</v>
      </c>
      <c r="B91" s="84"/>
      <c r="C91" s="84" t="s">
        <v>344</v>
      </c>
      <c r="D91" s="84" t="s">
        <v>345</v>
      </c>
      <c r="E91" s="84" t="s">
        <v>346</v>
      </c>
      <c r="F91" s="84"/>
      <c r="G91" s="84"/>
    </row>
    <row r="92" spans="1:7" x14ac:dyDescent="0.25">
      <c r="A92" s="85" t="s">
        <v>347</v>
      </c>
      <c r="B92" s="85"/>
      <c r="C92" s="85" t="s">
        <v>348</v>
      </c>
      <c r="D92" s="85"/>
      <c r="E92" s="85"/>
      <c r="F92" s="85"/>
      <c r="G92" s="85"/>
    </row>
    <row r="93" spans="1:7" x14ac:dyDescent="0.25">
      <c r="A93" s="84" t="s">
        <v>349</v>
      </c>
      <c r="B93" s="84"/>
      <c r="C93" s="84" t="s">
        <v>350</v>
      </c>
      <c r="D93" s="84"/>
      <c r="E93" s="84"/>
      <c r="F93" s="84"/>
      <c r="G93" s="84"/>
    </row>
    <row r="94" spans="1:7" x14ac:dyDescent="0.25">
      <c r="A94" s="85" t="s">
        <v>351</v>
      </c>
      <c r="B94" s="85"/>
      <c r="C94" s="85" t="s">
        <v>352</v>
      </c>
      <c r="D94" s="85"/>
      <c r="E94" s="85"/>
      <c r="F94" s="85"/>
      <c r="G94" s="85"/>
    </row>
    <row r="95" spans="1:7" x14ac:dyDescent="0.25">
      <c r="A95" s="84" t="s">
        <v>353</v>
      </c>
      <c r="B95" s="84"/>
      <c r="C95" s="84" t="s">
        <v>354</v>
      </c>
      <c r="D95" s="84"/>
      <c r="E95" s="84"/>
      <c r="F95" s="84"/>
      <c r="G95" s="84"/>
    </row>
    <row r="96" spans="1:7" x14ac:dyDescent="0.25">
      <c r="A96" s="85" t="s">
        <v>133</v>
      </c>
      <c r="B96" s="85"/>
      <c r="C96" s="85" t="s">
        <v>225</v>
      </c>
      <c r="D96" s="85"/>
      <c r="E96" s="85"/>
      <c r="F96" s="85"/>
      <c r="G96" s="85"/>
    </row>
    <row r="97" spans="1:7" x14ac:dyDescent="0.25">
      <c r="A97" s="84" t="s">
        <v>134</v>
      </c>
      <c r="B97" s="84"/>
      <c r="C97" s="84" t="s">
        <v>355</v>
      </c>
      <c r="D97" s="84"/>
      <c r="E97" s="84"/>
      <c r="F97" s="84"/>
      <c r="G97" s="84"/>
    </row>
    <row r="98" spans="1:7" x14ac:dyDescent="0.25">
      <c r="A98" s="85" t="s">
        <v>356</v>
      </c>
      <c r="B98" s="85"/>
      <c r="C98" s="85" t="s">
        <v>357</v>
      </c>
      <c r="D98" s="85"/>
      <c r="E98" s="85"/>
      <c r="F98" s="85"/>
      <c r="G98" s="85"/>
    </row>
    <row r="99" spans="1:7" x14ac:dyDescent="0.25">
      <c r="A99" s="84" t="s">
        <v>358</v>
      </c>
      <c r="B99" s="84"/>
      <c r="C99" s="84" t="s">
        <v>359</v>
      </c>
      <c r="D99" s="84"/>
      <c r="E99" s="84"/>
      <c r="F99" s="84"/>
      <c r="G99" s="84"/>
    </row>
    <row r="100" spans="1:7" x14ac:dyDescent="0.25">
      <c r="A100" s="85" t="s">
        <v>360</v>
      </c>
      <c r="B100" s="85"/>
      <c r="C100" s="85" t="s">
        <v>361</v>
      </c>
      <c r="D100" s="85"/>
      <c r="E100" s="85"/>
      <c r="F100" s="85"/>
      <c r="G100" s="85"/>
    </row>
    <row r="101" spans="1:7" x14ac:dyDescent="0.25">
      <c r="A101" s="84" t="s">
        <v>362</v>
      </c>
      <c r="B101" s="84"/>
      <c r="C101" s="84" t="s">
        <v>363</v>
      </c>
      <c r="D101" s="84"/>
      <c r="E101" s="84"/>
      <c r="F101" s="84"/>
      <c r="G101" s="84"/>
    </row>
    <row r="102" spans="1:7" x14ac:dyDescent="0.25">
      <c r="A102" s="85" t="s">
        <v>364</v>
      </c>
      <c r="B102" s="85"/>
      <c r="C102" s="85" t="s">
        <v>365</v>
      </c>
      <c r="D102" s="85"/>
      <c r="E102" s="85"/>
      <c r="F102" s="85"/>
      <c r="G102" s="85"/>
    </row>
    <row r="103" spans="1:7" x14ac:dyDescent="0.25">
      <c r="A103" s="84" t="s">
        <v>366</v>
      </c>
      <c r="B103" s="84"/>
      <c r="C103" s="84" t="s">
        <v>367</v>
      </c>
      <c r="D103" s="84"/>
      <c r="E103" s="84"/>
      <c r="F103" s="84"/>
      <c r="G103" s="84"/>
    </row>
    <row r="104" spans="1:7" x14ac:dyDescent="0.25">
      <c r="A104" s="85" t="s">
        <v>368</v>
      </c>
      <c r="B104" s="85"/>
      <c r="C104" s="85" t="s">
        <v>369</v>
      </c>
      <c r="D104" s="85"/>
      <c r="E104" s="85"/>
      <c r="F104" s="85"/>
      <c r="G104" s="85"/>
    </row>
    <row r="105" spans="1:7" x14ac:dyDescent="0.25">
      <c r="A105" s="84" t="s">
        <v>370</v>
      </c>
      <c r="B105" s="84"/>
      <c r="C105" s="84" t="s">
        <v>371</v>
      </c>
      <c r="D105" s="84"/>
      <c r="E105" s="84"/>
      <c r="F105" s="84"/>
      <c r="G105" s="84"/>
    </row>
    <row r="106" spans="1:7" x14ac:dyDescent="0.25">
      <c r="A106" s="85" t="s">
        <v>372</v>
      </c>
      <c r="B106" s="85"/>
      <c r="C106" s="85" t="s">
        <v>373</v>
      </c>
      <c r="D106" s="85" t="s">
        <v>374</v>
      </c>
      <c r="E106" s="85"/>
      <c r="F106" s="85"/>
      <c r="G106" s="85"/>
    </row>
    <row r="107" spans="1:7" x14ac:dyDescent="0.25">
      <c r="A107" s="84" t="s">
        <v>375</v>
      </c>
      <c r="B107" s="84"/>
      <c r="C107" s="84" t="s">
        <v>376</v>
      </c>
      <c r="D107" s="84" t="s">
        <v>377</v>
      </c>
      <c r="E107" s="84" t="s">
        <v>378</v>
      </c>
      <c r="F107" s="84" t="s">
        <v>379</v>
      </c>
      <c r="G107" s="84" t="s">
        <v>380</v>
      </c>
    </row>
    <row r="108" spans="1:7" x14ac:dyDescent="0.25">
      <c r="A108" s="85" t="s">
        <v>381</v>
      </c>
      <c r="B108" s="85"/>
      <c r="C108" s="85"/>
      <c r="D108" s="85"/>
      <c r="E108" s="85"/>
      <c r="F108" s="85"/>
      <c r="G108" s="85"/>
    </row>
    <row r="109" spans="1:7" x14ac:dyDescent="0.25">
      <c r="A109" s="84" t="s">
        <v>382</v>
      </c>
      <c r="B109" s="84"/>
      <c r="C109" s="84" t="s">
        <v>383</v>
      </c>
      <c r="D109" s="84"/>
      <c r="E109" s="84"/>
      <c r="F109" s="84"/>
      <c r="G109" s="84"/>
    </row>
    <row r="110" spans="1:7" x14ac:dyDescent="0.25">
      <c r="A110" s="85" t="s">
        <v>153</v>
      </c>
      <c r="B110" s="85"/>
      <c r="C110" s="85" t="s">
        <v>384</v>
      </c>
      <c r="D110" s="85"/>
      <c r="E110" s="85"/>
      <c r="F110" s="85"/>
      <c r="G110" s="85"/>
    </row>
    <row r="111" spans="1:7" x14ac:dyDescent="0.25">
      <c r="A111" s="84" t="s">
        <v>385</v>
      </c>
      <c r="B111" s="84"/>
      <c r="C111" s="84" t="s">
        <v>386</v>
      </c>
      <c r="D111" s="84"/>
      <c r="E111" s="84"/>
      <c r="F111" s="84"/>
      <c r="G111" s="84"/>
    </row>
    <row r="112" spans="1:7" x14ac:dyDescent="0.25">
      <c r="A112" s="85" t="s">
        <v>387</v>
      </c>
      <c r="B112" s="85"/>
      <c r="C112" s="85" t="s">
        <v>388</v>
      </c>
      <c r="D112" s="85"/>
      <c r="E112" s="85"/>
      <c r="F112" s="85"/>
      <c r="G112" s="85"/>
    </row>
    <row r="113" spans="1:7" x14ac:dyDescent="0.25">
      <c r="A113" s="84" t="s">
        <v>389</v>
      </c>
      <c r="B113" s="84"/>
      <c r="C113" s="84"/>
      <c r="D113" s="84"/>
      <c r="E113" s="84"/>
      <c r="F113" s="84"/>
      <c r="G113" s="84"/>
    </row>
    <row r="114" spans="1:7" x14ac:dyDescent="0.25">
      <c r="A114" s="85" t="s">
        <v>390</v>
      </c>
      <c r="B114" s="85"/>
      <c r="C114" s="85" t="s">
        <v>391</v>
      </c>
      <c r="D114" s="85"/>
      <c r="E114" s="85"/>
      <c r="F114" s="85"/>
      <c r="G114" s="85"/>
    </row>
    <row r="115" spans="1:7" x14ac:dyDescent="0.25">
      <c r="A115" s="84" t="s">
        <v>158</v>
      </c>
      <c r="B115" s="84"/>
      <c r="C115" s="84" t="s">
        <v>24</v>
      </c>
      <c r="D115" s="84" t="s">
        <v>392</v>
      </c>
      <c r="E115" s="84"/>
      <c r="F115" s="84"/>
      <c r="G115" s="84"/>
    </row>
    <row r="116" spans="1:7" x14ac:dyDescent="0.25">
      <c r="A116" s="85" t="s">
        <v>393</v>
      </c>
      <c r="B116" s="85"/>
      <c r="C116" s="85" t="s">
        <v>394</v>
      </c>
      <c r="D116" s="85"/>
      <c r="E116" s="85"/>
      <c r="F116" s="85"/>
      <c r="G116" s="85"/>
    </row>
    <row r="117" spans="1:7" x14ac:dyDescent="0.25">
      <c r="A117" s="84" t="s">
        <v>395</v>
      </c>
      <c r="B117" s="84"/>
      <c r="C117" s="84" t="s">
        <v>396</v>
      </c>
      <c r="D117" s="84"/>
      <c r="E117" s="84"/>
      <c r="F117" s="84"/>
      <c r="G117" s="84"/>
    </row>
    <row r="118" spans="1:7" x14ac:dyDescent="0.25">
      <c r="A118" s="85" t="s">
        <v>397</v>
      </c>
      <c r="B118" s="85"/>
      <c r="C118" s="85" t="s">
        <v>398</v>
      </c>
      <c r="D118" s="85"/>
      <c r="E118" s="85"/>
      <c r="F118" s="85"/>
      <c r="G118" s="85"/>
    </row>
    <row r="119" spans="1:7" x14ac:dyDescent="0.25">
      <c r="A119" s="84" t="s">
        <v>152</v>
      </c>
      <c r="B119" s="84"/>
      <c r="C119" s="84" t="s">
        <v>399</v>
      </c>
      <c r="D119" s="84"/>
      <c r="E119" s="84"/>
      <c r="F119" s="84"/>
      <c r="G119" s="84"/>
    </row>
    <row r="120" spans="1:7" x14ac:dyDescent="0.25">
      <c r="A120" s="85" t="s">
        <v>149</v>
      </c>
      <c r="B120" s="85"/>
      <c r="C120" s="85" t="s">
        <v>400</v>
      </c>
      <c r="D120" s="85"/>
      <c r="E120" s="85"/>
      <c r="F120" s="85"/>
      <c r="G120" s="85"/>
    </row>
    <row r="121" spans="1:7" x14ac:dyDescent="0.25">
      <c r="A121" s="84" t="s">
        <v>144</v>
      </c>
      <c r="B121" s="84"/>
      <c r="C121" s="84" t="s">
        <v>401</v>
      </c>
      <c r="D121" s="84"/>
      <c r="E121" s="84"/>
      <c r="F121" s="84"/>
      <c r="G121" s="84"/>
    </row>
  </sheetData>
  <mergeCells count="2">
    <mergeCell ref="A1:G1"/>
    <mergeCell ref="P1:Q1"/>
  </mergeCells>
  <conditionalFormatting sqref="J1:K1">
    <cfRule type="duplicateValues" dxfId="0" priority="2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M110"/>
  <sheetViews>
    <sheetView showGridLines="0" zoomScaleNormal="100" workbookViewId="0">
      <pane ySplit="3" topLeftCell="A4" activePane="bottomLeft" state="frozen"/>
      <selection pane="bottomLeft" activeCell="F4" sqref="F4"/>
    </sheetView>
  </sheetViews>
  <sheetFormatPr defaultColWidth="8.7109375" defaultRowHeight="15" x14ac:dyDescent="0.25"/>
  <cols>
    <col min="1" max="1" width="18" style="48" customWidth="1"/>
    <col min="2" max="3" width="13" customWidth="1"/>
    <col min="4" max="4" width="32" customWidth="1"/>
    <col min="5" max="5" width="22" customWidth="1"/>
    <col min="6" max="6" width="11" customWidth="1"/>
    <col min="7" max="7" width="16" customWidth="1"/>
    <col min="8" max="8" width="10" customWidth="1"/>
    <col min="9" max="10" width="15" customWidth="1"/>
    <col min="11" max="11" width="14" customWidth="1"/>
    <col min="12" max="12" width="28" customWidth="1"/>
    <col min="13" max="13" width="12" customWidth="1"/>
  </cols>
  <sheetData>
    <row r="1" spans="1:13" s="1" customFormat="1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31.5" customHeight="1" x14ac:dyDescent="0.25">
      <c r="A2" s="91" t="s">
        <v>402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21.75" customHeight="1" x14ac:dyDescent="0.25">
      <c r="A3" s="73" t="s">
        <v>120</v>
      </c>
      <c r="B3" s="74" t="s">
        <v>121</v>
      </c>
      <c r="C3" s="74" t="s">
        <v>122</v>
      </c>
      <c r="D3" s="74" t="s">
        <v>123</v>
      </c>
      <c r="E3" s="74" t="s">
        <v>124</v>
      </c>
      <c r="F3" s="74" t="s">
        <v>73</v>
      </c>
      <c r="G3" s="74" t="s">
        <v>114</v>
      </c>
      <c r="H3" s="74" t="s">
        <v>125</v>
      </c>
      <c r="I3" s="74" t="s">
        <v>126</v>
      </c>
      <c r="J3" s="74" t="s">
        <v>127</v>
      </c>
      <c r="K3" s="74" t="s">
        <v>128</v>
      </c>
      <c r="L3" s="74" t="s">
        <v>129</v>
      </c>
      <c r="M3" s="74" t="s">
        <v>130</v>
      </c>
    </row>
    <row r="4" spans="1:13" ht="15" customHeight="1" x14ac:dyDescent="0.25">
      <c r="A4" s="75" t="s">
        <v>136</v>
      </c>
      <c r="B4" s="76">
        <v>46027</v>
      </c>
      <c r="C4" s="76">
        <v>46024</v>
      </c>
      <c r="D4" s="77" t="s">
        <v>137</v>
      </c>
      <c r="E4" s="77" t="s">
        <v>15</v>
      </c>
      <c r="F4" s="98" t="s">
        <v>408</v>
      </c>
      <c r="G4" s="77" t="s">
        <v>10</v>
      </c>
      <c r="H4" s="78">
        <v>307.73099999999999</v>
      </c>
      <c r="I4" s="79">
        <v>1843.3</v>
      </c>
      <c r="J4" s="79">
        <v>1843.3</v>
      </c>
      <c r="K4" s="79">
        <f t="shared" ref="K4:K35" si="0">I4-J4</f>
        <v>0</v>
      </c>
      <c r="L4" s="99" t="s">
        <v>409</v>
      </c>
      <c r="M4" s="77" t="s">
        <v>407</v>
      </c>
    </row>
    <row r="5" spans="1:13" ht="15" customHeight="1" x14ac:dyDescent="0.25">
      <c r="A5" s="75" t="s">
        <v>136</v>
      </c>
      <c r="B5" s="76">
        <v>46027</v>
      </c>
      <c r="C5" s="76">
        <v>46027</v>
      </c>
      <c r="D5" s="77" t="s">
        <v>138</v>
      </c>
      <c r="E5" s="77" t="s">
        <v>16</v>
      </c>
      <c r="F5" s="98" t="s">
        <v>408</v>
      </c>
      <c r="G5" s="77" t="s">
        <v>10</v>
      </c>
      <c r="H5" s="78">
        <v>665.01</v>
      </c>
      <c r="I5" s="79">
        <v>3717.41</v>
      </c>
      <c r="J5" s="79">
        <v>3717.41</v>
      </c>
      <c r="K5" s="79">
        <f t="shared" si="0"/>
        <v>0</v>
      </c>
      <c r="L5" s="99" t="s">
        <v>409</v>
      </c>
      <c r="M5" s="77" t="s">
        <v>407</v>
      </c>
    </row>
    <row r="6" spans="1:13" ht="15" customHeight="1" x14ac:dyDescent="0.25">
      <c r="A6" s="75" t="s">
        <v>136</v>
      </c>
      <c r="B6" s="76">
        <v>46028</v>
      </c>
      <c r="C6" s="76">
        <v>46028</v>
      </c>
      <c r="D6" s="77" t="s">
        <v>138</v>
      </c>
      <c r="E6" s="77" t="s">
        <v>16</v>
      </c>
      <c r="F6" s="98" t="s">
        <v>408</v>
      </c>
      <c r="G6" s="77" t="s">
        <v>10</v>
      </c>
      <c r="H6" s="78">
        <v>380</v>
      </c>
      <c r="I6" s="79">
        <v>2143.1999999999998</v>
      </c>
      <c r="J6" s="79">
        <v>2143.1999999999998</v>
      </c>
      <c r="K6" s="79">
        <f t="shared" si="0"/>
        <v>0</v>
      </c>
      <c r="L6" s="99" t="s">
        <v>409</v>
      </c>
      <c r="M6" s="77" t="s">
        <v>407</v>
      </c>
    </row>
    <row r="7" spans="1:13" ht="15" customHeight="1" x14ac:dyDescent="0.25">
      <c r="A7" s="75" t="s">
        <v>136</v>
      </c>
      <c r="B7" s="76">
        <v>46028</v>
      </c>
      <c r="C7" s="76">
        <v>46028</v>
      </c>
      <c r="D7" s="77" t="s">
        <v>138</v>
      </c>
      <c r="E7" s="77" t="s">
        <v>16</v>
      </c>
      <c r="F7" s="98" t="s">
        <v>408</v>
      </c>
      <c r="G7" s="77" t="s">
        <v>6</v>
      </c>
      <c r="H7" s="78">
        <v>45.12</v>
      </c>
      <c r="I7" s="79">
        <v>134.91999999999999</v>
      </c>
      <c r="J7" s="79">
        <v>134.91</v>
      </c>
      <c r="K7" s="79">
        <f t="shared" si="0"/>
        <v>9.9999999999909051E-3</v>
      </c>
      <c r="L7" s="99" t="s">
        <v>409</v>
      </c>
      <c r="M7" s="77" t="s">
        <v>407</v>
      </c>
    </row>
    <row r="8" spans="1:13" ht="15" customHeight="1" x14ac:dyDescent="0.25">
      <c r="A8" s="75" t="s">
        <v>136</v>
      </c>
      <c r="B8" s="76">
        <v>46028</v>
      </c>
      <c r="C8" s="76">
        <v>46028</v>
      </c>
      <c r="D8" s="77" t="s">
        <v>138</v>
      </c>
      <c r="E8" s="77" t="s">
        <v>16</v>
      </c>
      <c r="F8" s="98" t="s">
        <v>408</v>
      </c>
      <c r="G8" s="77" t="s">
        <v>10</v>
      </c>
      <c r="H8" s="78">
        <v>615.37</v>
      </c>
      <c r="I8" s="79">
        <v>3470.69</v>
      </c>
      <c r="J8" s="79">
        <v>3470.69</v>
      </c>
      <c r="K8" s="79">
        <f t="shared" si="0"/>
        <v>0</v>
      </c>
      <c r="L8" s="99" t="s">
        <v>409</v>
      </c>
      <c r="M8" s="77" t="s">
        <v>407</v>
      </c>
    </row>
    <row r="9" spans="1:13" ht="15" customHeight="1" x14ac:dyDescent="0.25">
      <c r="A9" s="75" t="s">
        <v>136</v>
      </c>
      <c r="B9" s="76">
        <v>46029</v>
      </c>
      <c r="C9" s="76">
        <v>46029</v>
      </c>
      <c r="D9" s="77" t="s">
        <v>133</v>
      </c>
      <c r="E9" s="77" t="s">
        <v>17</v>
      </c>
      <c r="F9" s="98" t="s">
        <v>408</v>
      </c>
      <c r="G9" s="77" t="s">
        <v>12</v>
      </c>
      <c r="H9" s="78">
        <v>42.74</v>
      </c>
      <c r="I9" s="79">
        <v>277.38</v>
      </c>
      <c r="J9" s="79">
        <v>277.38</v>
      </c>
      <c r="K9" s="79">
        <f t="shared" si="0"/>
        <v>0</v>
      </c>
      <c r="L9" s="99" t="s">
        <v>409</v>
      </c>
      <c r="M9" s="77" t="s">
        <v>407</v>
      </c>
    </row>
    <row r="10" spans="1:13" ht="15" customHeight="1" x14ac:dyDescent="0.25">
      <c r="A10" s="75" t="s">
        <v>136</v>
      </c>
      <c r="B10" s="76">
        <v>46029</v>
      </c>
      <c r="C10" s="76">
        <v>46029</v>
      </c>
      <c r="D10" s="77" t="s">
        <v>133</v>
      </c>
      <c r="E10" s="77" t="s">
        <v>17</v>
      </c>
      <c r="F10" s="98" t="s">
        <v>408</v>
      </c>
      <c r="G10" s="77" t="s">
        <v>10</v>
      </c>
      <c r="H10" s="78">
        <v>463</v>
      </c>
      <c r="I10" s="79">
        <v>2773.37</v>
      </c>
      <c r="J10" s="79">
        <v>2773.37</v>
      </c>
      <c r="K10" s="79">
        <f t="shared" si="0"/>
        <v>0</v>
      </c>
      <c r="L10" s="99" t="s">
        <v>409</v>
      </c>
      <c r="M10" s="77" t="s">
        <v>407</v>
      </c>
    </row>
    <row r="11" spans="1:13" ht="15" customHeight="1" x14ac:dyDescent="0.25">
      <c r="A11" s="75" t="s">
        <v>136</v>
      </c>
      <c r="B11" s="76">
        <v>46030</v>
      </c>
      <c r="C11" s="76">
        <v>46028</v>
      </c>
      <c r="D11" s="77" t="s">
        <v>140</v>
      </c>
      <c r="E11" s="77" t="s">
        <v>21</v>
      </c>
      <c r="F11" s="98" t="s">
        <v>408</v>
      </c>
      <c r="G11" s="77" t="s">
        <v>12</v>
      </c>
      <c r="H11" s="78">
        <v>40.81</v>
      </c>
      <c r="I11" s="79">
        <v>284.85000000000002</v>
      </c>
      <c r="J11" s="79">
        <v>284.85000000000002</v>
      </c>
      <c r="K11" s="79">
        <f t="shared" si="0"/>
        <v>0</v>
      </c>
      <c r="L11" s="99" t="s">
        <v>409</v>
      </c>
      <c r="M11" s="77" t="s">
        <v>407</v>
      </c>
    </row>
    <row r="12" spans="1:13" ht="15" customHeight="1" x14ac:dyDescent="0.25">
      <c r="A12" s="75" t="s">
        <v>136</v>
      </c>
      <c r="B12" s="76">
        <v>46030</v>
      </c>
      <c r="C12" s="76">
        <v>46030</v>
      </c>
      <c r="D12" s="77" t="s">
        <v>138</v>
      </c>
      <c r="E12" s="77" t="s">
        <v>16</v>
      </c>
      <c r="F12" s="98" t="s">
        <v>408</v>
      </c>
      <c r="G12" s="77" t="s">
        <v>10</v>
      </c>
      <c r="H12" s="78">
        <v>400</v>
      </c>
      <c r="I12" s="79">
        <v>2256</v>
      </c>
      <c r="J12" s="79">
        <v>2256</v>
      </c>
      <c r="K12" s="79">
        <f t="shared" si="0"/>
        <v>0</v>
      </c>
      <c r="L12" s="99" t="s">
        <v>409</v>
      </c>
      <c r="M12" s="77" t="s">
        <v>407</v>
      </c>
    </row>
    <row r="13" spans="1:13" ht="15" customHeight="1" x14ac:dyDescent="0.25">
      <c r="A13" s="75" t="s">
        <v>136</v>
      </c>
      <c r="B13" s="76">
        <v>46030</v>
      </c>
      <c r="C13" s="76">
        <v>46030</v>
      </c>
      <c r="D13" s="77" t="s">
        <v>138</v>
      </c>
      <c r="E13" s="77" t="s">
        <v>16</v>
      </c>
      <c r="F13" s="98" t="s">
        <v>408</v>
      </c>
      <c r="G13" s="77" t="s">
        <v>10</v>
      </c>
      <c r="H13" s="78">
        <v>356</v>
      </c>
      <c r="I13" s="79">
        <v>2007.84</v>
      </c>
      <c r="J13" s="79">
        <v>2007.84</v>
      </c>
      <c r="K13" s="79">
        <f t="shared" si="0"/>
        <v>0</v>
      </c>
      <c r="L13" s="99" t="s">
        <v>409</v>
      </c>
      <c r="M13" s="77" t="s">
        <v>407</v>
      </c>
    </row>
    <row r="14" spans="1:13" ht="15" customHeight="1" x14ac:dyDescent="0.25">
      <c r="A14" s="75" t="s">
        <v>136</v>
      </c>
      <c r="B14" s="76">
        <v>46031</v>
      </c>
      <c r="C14" s="76">
        <v>46031</v>
      </c>
      <c r="D14" s="77" t="s">
        <v>138</v>
      </c>
      <c r="E14" s="77" t="s">
        <v>16</v>
      </c>
      <c r="F14" s="98" t="s">
        <v>408</v>
      </c>
      <c r="G14" s="77" t="s">
        <v>10</v>
      </c>
      <c r="H14" s="78">
        <v>394.6</v>
      </c>
      <c r="I14" s="79">
        <v>2225.54</v>
      </c>
      <c r="J14" s="79">
        <v>2225.54</v>
      </c>
      <c r="K14" s="79">
        <f t="shared" si="0"/>
        <v>0</v>
      </c>
      <c r="L14" s="99" t="s">
        <v>409</v>
      </c>
      <c r="M14" s="77" t="s">
        <v>407</v>
      </c>
    </row>
    <row r="15" spans="1:13" ht="15" customHeight="1" x14ac:dyDescent="0.25">
      <c r="A15" s="75" t="s">
        <v>136</v>
      </c>
      <c r="B15" s="76">
        <v>46038</v>
      </c>
      <c r="C15" s="76">
        <v>46038</v>
      </c>
      <c r="D15" s="77" t="s">
        <v>133</v>
      </c>
      <c r="E15" s="77" t="s">
        <v>17</v>
      </c>
      <c r="F15" s="98" t="s">
        <v>408</v>
      </c>
      <c r="G15" s="77" t="s">
        <v>12</v>
      </c>
      <c r="H15" s="78">
        <v>55.52</v>
      </c>
      <c r="I15" s="79">
        <v>360.32</v>
      </c>
      <c r="J15" s="79">
        <v>360.32</v>
      </c>
      <c r="K15" s="79">
        <f t="shared" si="0"/>
        <v>0</v>
      </c>
      <c r="L15" s="99" t="s">
        <v>409</v>
      </c>
      <c r="M15" s="77" t="s">
        <v>407</v>
      </c>
    </row>
    <row r="16" spans="1:13" ht="15" customHeight="1" x14ac:dyDescent="0.25">
      <c r="A16" s="75" t="s">
        <v>136</v>
      </c>
      <c r="B16" s="76">
        <v>46038</v>
      </c>
      <c r="C16" s="76">
        <v>46038</v>
      </c>
      <c r="D16" s="77" t="s">
        <v>138</v>
      </c>
      <c r="E16" s="77" t="s">
        <v>16</v>
      </c>
      <c r="F16" s="98" t="s">
        <v>408</v>
      </c>
      <c r="G16" s="77" t="s">
        <v>10</v>
      </c>
      <c r="H16" s="78">
        <v>363</v>
      </c>
      <c r="I16" s="79">
        <v>2047.32</v>
      </c>
      <c r="J16" s="79">
        <v>2047.32</v>
      </c>
      <c r="K16" s="79">
        <f t="shared" si="0"/>
        <v>0</v>
      </c>
      <c r="L16" s="99" t="s">
        <v>409</v>
      </c>
      <c r="M16" s="77" t="s">
        <v>407</v>
      </c>
    </row>
    <row r="17" spans="1:13" ht="15" customHeight="1" x14ac:dyDescent="0.25">
      <c r="A17" s="75" t="s">
        <v>136</v>
      </c>
      <c r="B17" s="76">
        <v>46041</v>
      </c>
      <c r="C17" s="76">
        <v>46039</v>
      </c>
      <c r="D17" s="77" t="s">
        <v>146</v>
      </c>
      <c r="E17" s="77" t="s">
        <v>19</v>
      </c>
      <c r="F17" s="98" t="s">
        <v>408</v>
      </c>
      <c r="G17" s="77" t="s">
        <v>10</v>
      </c>
      <c r="H17" s="78">
        <v>515</v>
      </c>
      <c r="I17" s="79">
        <v>2992.15</v>
      </c>
      <c r="J17" s="79">
        <v>2992.15</v>
      </c>
      <c r="K17" s="79">
        <f t="shared" si="0"/>
        <v>0</v>
      </c>
      <c r="L17" s="99" t="s">
        <v>409</v>
      </c>
      <c r="M17" s="77" t="s">
        <v>407</v>
      </c>
    </row>
    <row r="18" spans="1:13" ht="15" customHeight="1" x14ac:dyDescent="0.25">
      <c r="A18" s="75" t="s">
        <v>136</v>
      </c>
      <c r="B18" s="76">
        <v>46041</v>
      </c>
      <c r="C18" s="76">
        <v>46041</v>
      </c>
      <c r="D18" s="77" t="s">
        <v>138</v>
      </c>
      <c r="E18" s="77" t="s">
        <v>16</v>
      </c>
      <c r="F18" s="98" t="s">
        <v>408</v>
      </c>
      <c r="G18" s="77" t="s">
        <v>11</v>
      </c>
      <c r="H18" s="78">
        <v>350.01</v>
      </c>
      <c r="I18" s="79">
        <v>1956.56</v>
      </c>
      <c r="J18" s="79">
        <v>1956.56</v>
      </c>
      <c r="K18" s="79">
        <f t="shared" si="0"/>
        <v>0</v>
      </c>
      <c r="L18" s="99" t="s">
        <v>409</v>
      </c>
      <c r="M18" s="77" t="s">
        <v>407</v>
      </c>
    </row>
    <row r="19" spans="1:13" ht="15" customHeight="1" x14ac:dyDescent="0.25">
      <c r="A19" s="75" t="s">
        <v>136</v>
      </c>
      <c r="B19" s="76">
        <v>46042</v>
      </c>
      <c r="C19" s="76">
        <v>46042</v>
      </c>
      <c r="D19" s="77" t="s">
        <v>138</v>
      </c>
      <c r="E19" s="77" t="s">
        <v>16</v>
      </c>
      <c r="F19" s="98" t="s">
        <v>408</v>
      </c>
      <c r="G19" s="77" t="s">
        <v>10</v>
      </c>
      <c r="H19" s="78">
        <v>570.01</v>
      </c>
      <c r="I19" s="79">
        <v>3214.86</v>
      </c>
      <c r="J19" s="79">
        <v>3214.86</v>
      </c>
      <c r="K19" s="79">
        <f t="shared" si="0"/>
        <v>0</v>
      </c>
      <c r="L19" s="99" t="s">
        <v>409</v>
      </c>
      <c r="M19" s="77" t="s">
        <v>407</v>
      </c>
    </row>
    <row r="20" spans="1:13" ht="15" customHeight="1" x14ac:dyDescent="0.25">
      <c r="A20" s="75" t="s">
        <v>136</v>
      </c>
      <c r="B20" s="76">
        <v>46044</v>
      </c>
      <c r="C20" s="76">
        <v>46044</v>
      </c>
      <c r="D20" s="77" t="s">
        <v>138</v>
      </c>
      <c r="E20" s="77" t="s">
        <v>16</v>
      </c>
      <c r="F20" s="98" t="s">
        <v>408</v>
      </c>
      <c r="G20" s="77" t="s">
        <v>10</v>
      </c>
      <c r="H20" s="78">
        <v>420</v>
      </c>
      <c r="I20" s="79">
        <v>2347.8000000000002</v>
      </c>
      <c r="J20" s="79">
        <v>2347.8000000000002</v>
      </c>
      <c r="K20" s="79">
        <f t="shared" si="0"/>
        <v>0</v>
      </c>
      <c r="L20" s="99" t="s">
        <v>409</v>
      </c>
      <c r="M20" s="77" t="s">
        <v>407</v>
      </c>
    </row>
    <row r="21" spans="1:13" ht="15" customHeight="1" x14ac:dyDescent="0.25">
      <c r="A21" s="75" t="s">
        <v>136</v>
      </c>
      <c r="B21" s="76">
        <v>46044</v>
      </c>
      <c r="C21" s="76">
        <v>46044</v>
      </c>
      <c r="D21" s="77" t="s">
        <v>138</v>
      </c>
      <c r="E21" s="77" t="s">
        <v>16</v>
      </c>
      <c r="F21" s="98" t="s">
        <v>408</v>
      </c>
      <c r="G21" s="77" t="s">
        <v>10</v>
      </c>
      <c r="H21" s="78">
        <v>519</v>
      </c>
      <c r="I21" s="79">
        <v>2927.16</v>
      </c>
      <c r="J21" s="79">
        <v>2927.16</v>
      </c>
      <c r="K21" s="79">
        <f t="shared" si="0"/>
        <v>0</v>
      </c>
      <c r="L21" s="99" t="s">
        <v>409</v>
      </c>
      <c r="M21" s="77" t="s">
        <v>407</v>
      </c>
    </row>
    <row r="22" spans="1:13" ht="15" customHeight="1" x14ac:dyDescent="0.25">
      <c r="A22" s="75" t="s">
        <v>136</v>
      </c>
      <c r="B22" s="76">
        <v>46045</v>
      </c>
      <c r="C22" s="76">
        <v>46045</v>
      </c>
      <c r="D22" s="77" t="s">
        <v>138</v>
      </c>
      <c r="E22" s="77" t="s">
        <v>16</v>
      </c>
      <c r="F22" s="98" t="s">
        <v>408</v>
      </c>
      <c r="G22" s="77" t="s">
        <v>10</v>
      </c>
      <c r="H22" s="78">
        <v>370.01</v>
      </c>
      <c r="I22" s="79">
        <v>2086.86</v>
      </c>
      <c r="J22" s="79">
        <v>2086.86</v>
      </c>
      <c r="K22" s="79">
        <f t="shared" si="0"/>
        <v>0</v>
      </c>
      <c r="L22" s="99" t="s">
        <v>409</v>
      </c>
      <c r="M22" s="77" t="s">
        <v>407</v>
      </c>
    </row>
    <row r="23" spans="1:13" ht="15" customHeight="1" x14ac:dyDescent="0.25">
      <c r="A23" s="75" t="s">
        <v>136</v>
      </c>
      <c r="B23" s="76">
        <v>46045</v>
      </c>
      <c r="C23" s="76">
        <v>46045</v>
      </c>
      <c r="D23" s="77" t="s">
        <v>133</v>
      </c>
      <c r="E23" s="77" t="s">
        <v>17</v>
      </c>
      <c r="F23" s="98" t="s">
        <v>408</v>
      </c>
      <c r="G23" s="77" t="s">
        <v>10</v>
      </c>
      <c r="H23" s="78">
        <v>375.02</v>
      </c>
      <c r="I23" s="79">
        <v>2208.87</v>
      </c>
      <c r="J23" s="79">
        <v>2208.87</v>
      </c>
      <c r="K23" s="79">
        <f t="shared" si="0"/>
        <v>0</v>
      </c>
      <c r="L23" s="99" t="s">
        <v>409</v>
      </c>
      <c r="M23" s="77" t="s">
        <v>407</v>
      </c>
    </row>
    <row r="24" spans="1:13" ht="15" customHeight="1" x14ac:dyDescent="0.25">
      <c r="A24" s="75" t="s">
        <v>136</v>
      </c>
      <c r="B24" s="76">
        <v>46045</v>
      </c>
      <c r="C24" s="76">
        <v>46045</v>
      </c>
      <c r="D24" s="77" t="s">
        <v>133</v>
      </c>
      <c r="E24" s="77" t="s">
        <v>17</v>
      </c>
      <c r="F24" s="98" t="s">
        <v>408</v>
      </c>
      <c r="G24" s="77" t="s">
        <v>10</v>
      </c>
      <c r="H24" s="78">
        <v>189.18</v>
      </c>
      <c r="I24" s="79">
        <v>1114.27</v>
      </c>
      <c r="J24" s="79">
        <v>1114.27</v>
      </c>
      <c r="K24" s="79">
        <f t="shared" si="0"/>
        <v>0</v>
      </c>
      <c r="L24" s="99" t="s">
        <v>409</v>
      </c>
      <c r="M24" s="77" t="s">
        <v>407</v>
      </c>
    </row>
    <row r="25" spans="1:13" ht="15" customHeight="1" x14ac:dyDescent="0.25">
      <c r="A25" s="75" t="s">
        <v>136</v>
      </c>
      <c r="B25" s="76">
        <v>46045</v>
      </c>
      <c r="C25" s="76">
        <v>46045</v>
      </c>
      <c r="D25" s="77" t="s">
        <v>133</v>
      </c>
      <c r="E25" s="77" t="s">
        <v>17</v>
      </c>
      <c r="F25" s="98" t="s">
        <v>408</v>
      </c>
      <c r="G25" s="77" t="s">
        <v>12</v>
      </c>
      <c r="H25" s="78">
        <v>39.04</v>
      </c>
      <c r="I25" s="79">
        <v>253.37</v>
      </c>
      <c r="J25" s="79">
        <v>253.37</v>
      </c>
      <c r="K25" s="79">
        <f t="shared" si="0"/>
        <v>0</v>
      </c>
      <c r="L25" s="99" t="s">
        <v>409</v>
      </c>
      <c r="M25" s="77" t="s">
        <v>407</v>
      </c>
    </row>
    <row r="26" spans="1:13" ht="15" customHeight="1" x14ac:dyDescent="0.25">
      <c r="A26" s="75" t="s">
        <v>136</v>
      </c>
      <c r="B26" s="76">
        <v>46046</v>
      </c>
      <c r="C26" s="76">
        <v>46046</v>
      </c>
      <c r="D26" s="77" t="s">
        <v>138</v>
      </c>
      <c r="E26" s="77" t="s">
        <v>16</v>
      </c>
      <c r="F26" s="98" t="s">
        <v>408</v>
      </c>
      <c r="G26" s="77" t="s">
        <v>10</v>
      </c>
      <c r="H26" s="78">
        <v>466.01</v>
      </c>
      <c r="I26" s="79">
        <v>2628.3</v>
      </c>
      <c r="J26" s="79">
        <v>2628.3</v>
      </c>
      <c r="K26" s="79">
        <f t="shared" si="0"/>
        <v>0</v>
      </c>
      <c r="L26" s="99" t="s">
        <v>409</v>
      </c>
      <c r="M26" s="77" t="s">
        <v>407</v>
      </c>
    </row>
    <row r="27" spans="1:13" ht="15" customHeight="1" x14ac:dyDescent="0.25">
      <c r="A27" s="75" t="s">
        <v>136</v>
      </c>
      <c r="B27" s="76">
        <v>46046</v>
      </c>
      <c r="C27" s="76">
        <v>46046</v>
      </c>
      <c r="D27" s="77" t="s">
        <v>138</v>
      </c>
      <c r="E27" s="77" t="s">
        <v>16</v>
      </c>
      <c r="F27" s="98" t="s">
        <v>408</v>
      </c>
      <c r="G27" s="77" t="s">
        <v>11</v>
      </c>
      <c r="H27" s="78">
        <v>371</v>
      </c>
      <c r="I27" s="79">
        <v>2073.89</v>
      </c>
      <c r="J27" s="79">
        <v>2073.89</v>
      </c>
      <c r="K27" s="79">
        <f t="shared" si="0"/>
        <v>0</v>
      </c>
      <c r="L27" s="99" t="s">
        <v>409</v>
      </c>
      <c r="M27" s="77" t="s">
        <v>407</v>
      </c>
    </row>
    <row r="28" spans="1:13" ht="15" customHeight="1" x14ac:dyDescent="0.25">
      <c r="A28" s="75" t="s">
        <v>136</v>
      </c>
      <c r="B28" s="76">
        <v>46046</v>
      </c>
      <c r="C28" s="76">
        <v>46046</v>
      </c>
      <c r="D28" s="77" t="s">
        <v>138</v>
      </c>
      <c r="E28" s="77" t="s">
        <v>16</v>
      </c>
      <c r="F28" s="98" t="s">
        <v>408</v>
      </c>
      <c r="G28" s="77" t="s">
        <v>11</v>
      </c>
      <c r="H28" s="78">
        <v>425</v>
      </c>
      <c r="I28" s="79">
        <v>2375.75</v>
      </c>
      <c r="J28" s="79">
        <v>2375.75</v>
      </c>
      <c r="K28" s="79">
        <f t="shared" si="0"/>
        <v>0</v>
      </c>
      <c r="L28" s="99" t="s">
        <v>409</v>
      </c>
      <c r="M28" s="77" t="s">
        <v>407</v>
      </c>
    </row>
    <row r="29" spans="1:13" ht="15" customHeight="1" x14ac:dyDescent="0.25">
      <c r="A29" s="75" t="s">
        <v>136</v>
      </c>
      <c r="B29" s="76">
        <v>46047</v>
      </c>
      <c r="C29" s="76">
        <v>46047</v>
      </c>
      <c r="D29" s="77" t="s">
        <v>138</v>
      </c>
      <c r="E29" s="77" t="s">
        <v>16</v>
      </c>
      <c r="F29" s="98" t="s">
        <v>408</v>
      </c>
      <c r="G29" s="77" t="s">
        <v>10</v>
      </c>
      <c r="H29" s="78">
        <v>500.01</v>
      </c>
      <c r="I29" s="79">
        <v>2820.06</v>
      </c>
      <c r="J29" s="79">
        <v>2820.06</v>
      </c>
      <c r="K29" s="79">
        <f t="shared" si="0"/>
        <v>0</v>
      </c>
      <c r="L29" s="99" t="s">
        <v>409</v>
      </c>
      <c r="M29" s="77" t="s">
        <v>407</v>
      </c>
    </row>
    <row r="30" spans="1:13" ht="15" customHeight="1" x14ac:dyDescent="0.25">
      <c r="A30" s="75" t="s">
        <v>136</v>
      </c>
      <c r="B30" s="76">
        <v>46048</v>
      </c>
      <c r="C30" s="76">
        <v>46048</v>
      </c>
      <c r="D30" s="77" t="s">
        <v>138</v>
      </c>
      <c r="E30" s="77" t="s">
        <v>16</v>
      </c>
      <c r="F30" s="98" t="s">
        <v>408</v>
      </c>
      <c r="G30" s="77" t="s">
        <v>10</v>
      </c>
      <c r="H30" s="78">
        <v>434.73</v>
      </c>
      <c r="I30" s="79">
        <v>2451.88</v>
      </c>
      <c r="J30" s="79">
        <v>2451.88</v>
      </c>
      <c r="K30" s="79">
        <f t="shared" si="0"/>
        <v>0</v>
      </c>
      <c r="L30" s="99" t="s">
        <v>409</v>
      </c>
      <c r="M30" s="77" t="s">
        <v>407</v>
      </c>
    </row>
    <row r="31" spans="1:13" ht="15" customHeight="1" x14ac:dyDescent="0.25">
      <c r="A31" s="75" t="s">
        <v>136</v>
      </c>
      <c r="B31" s="76">
        <v>46049</v>
      </c>
      <c r="C31" s="76">
        <v>46038</v>
      </c>
      <c r="D31" s="77" t="s">
        <v>133</v>
      </c>
      <c r="E31" s="77" t="s">
        <v>17</v>
      </c>
      <c r="F31" s="98" t="s">
        <v>408</v>
      </c>
      <c r="G31" s="77" t="s">
        <v>12</v>
      </c>
      <c r="H31" s="78">
        <v>23.95</v>
      </c>
      <c r="I31" s="79">
        <v>155.44</v>
      </c>
      <c r="J31" s="79">
        <v>155.44</v>
      </c>
      <c r="K31" s="79">
        <f t="shared" si="0"/>
        <v>0</v>
      </c>
      <c r="L31" s="99" t="s">
        <v>409</v>
      </c>
      <c r="M31" s="77" t="s">
        <v>407</v>
      </c>
    </row>
    <row r="32" spans="1:13" ht="15" customHeight="1" x14ac:dyDescent="0.25">
      <c r="A32" s="75" t="s">
        <v>136</v>
      </c>
      <c r="B32" s="76">
        <v>46049</v>
      </c>
      <c r="C32" s="76">
        <v>46042</v>
      </c>
      <c r="D32" s="77" t="s">
        <v>133</v>
      </c>
      <c r="E32" s="77" t="s">
        <v>17</v>
      </c>
      <c r="F32" s="98" t="s">
        <v>408</v>
      </c>
      <c r="G32" s="77" t="s">
        <v>12</v>
      </c>
      <c r="H32" s="78">
        <v>23.12</v>
      </c>
      <c r="I32" s="79">
        <v>150.05000000000001</v>
      </c>
      <c r="J32" s="79">
        <v>150.05000000000001</v>
      </c>
      <c r="K32" s="79">
        <f t="shared" si="0"/>
        <v>0</v>
      </c>
      <c r="L32" s="99" t="s">
        <v>409</v>
      </c>
      <c r="M32" s="77" t="s">
        <v>407</v>
      </c>
    </row>
    <row r="33" spans="1:13" ht="15" customHeight="1" x14ac:dyDescent="0.25">
      <c r="A33" s="75" t="s">
        <v>136</v>
      </c>
      <c r="B33" s="76">
        <v>46049</v>
      </c>
      <c r="C33" s="76">
        <v>46049</v>
      </c>
      <c r="D33" s="77" t="s">
        <v>138</v>
      </c>
      <c r="E33" s="77" t="s">
        <v>16</v>
      </c>
      <c r="F33" s="98" t="s">
        <v>408</v>
      </c>
      <c r="G33" s="77" t="s">
        <v>10</v>
      </c>
      <c r="H33" s="78">
        <v>480</v>
      </c>
      <c r="I33" s="79">
        <v>2707.2</v>
      </c>
      <c r="J33" s="79">
        <v>2707.2</v>
      </c>
      <c r="K33" s="79">
        <f t="shared" si="0"/>
        <v>0</v>
      </c>
      <c r="L33" s="99" t="s">
        <v>409</v>
      </c>
      <c r="M33" s="77" t="s">
        <v>407</v>
      </c>
    </row>
    <row r="34" spans="1:13" ht="15" customHeight="1" x14ac:dyDescent="0.25">
      <c r="A34" s="75" t="s">
        <v>136</v>
      </c>
      <c r="B34" s="76">
        <v>46049</v>
      </c>
      <c r="C34" s="76">
        <v>46049</v>
      </c>
      <c r="D34" s="77" t="s">
        <v>138</v>
      </c>
      <c r="E34" s="77" t="s">
        <v>16</v>
      </c>
      <c r="F34" s="98" t="s">
        <v>408</v>
      </c>
      <c r="G34" s="77" t="s">
        <v>10</v>
      </c>
      <c r="H34" s="78">
        <v>560.02</v>
      </c>
      <c r="I34" s="79">
        <v>3158.52</v>
      </c>
      <c r="J34" s="79">
        <v>3158.51</v>
      </c>
      <c r="K34" s="79">
        <f t="shared" si="0"/>
        <v>9.9999999997635314E-3</v>
      </c>
      <c r="L34" s="99" t="s">
        <v>409</v>
      </c>
      <c r="M34" s="77" t="s">
        <v>407</v>
      </c>
    </row>
    <row r="35" spans="1:13" ht="15" customHeight="1" x14ac:dyDescent="0.25">
      <c r="A35" s="75" t="s">
        <v>136</v>
      </c>
      <c r="B35" s="76">
        <v>46049</v>
      </c>
      <c r="C35" s="76">
        <v>46049</v>
      </c>
      <c r="D35" s="77" t="s">
        <v>138</v>
      </c>
      <c r="E35" s="77" t="s">
        <v>16</v>
      </c>
      <c r="F35" s="98" t="s">
        <v>408</v>
      </c>
      <c r="G35" s="77" t="s">
        <v>10</v>
      </c>
      <c r="H35" s="78">
        <v>410.43</v>
      </c>
      <c r="I35" s="79">
        <v>2314.83</v>
      </c>
      <c r="J35" s="79">
        <v>2314.83</v>
      </c>
      <c r="K35" s="79">
        <f t="shared" si="0"/>
        <v>0</v>
      </c>
      <c r="L35" s="99" t="s">
        <v>409</v>
      </c>
      <c r="M35" s="77" t="s">
        <v>407</v>
      </c>
    </row>
    <row r="36" spans="1:13" ht="15" customHeight="1" x14ac:dyDescent="0.25">
      <c r="A36" s="75" t="s">
        <v>136</v>
      </c>
      <c r="B36" s="76">
        <v>46049</v>
      </c>
      <c r="C36" s="76">
        <v>46049</v>
      </c>
      <c r="D36" s="77" t="s">
        <v>133</v>
      </c>
      <c r="E36" s="77" t="s">
        <v>17</v>
      </c>
      <c r="F36" s="98" t="s">
        <v>408</v>
      </c>
      <c r="G36" s="77" t="s">
        <v>12</v>
      </c>
      <c r="H36" s="78">
        <v>50.76</v>
      </c>
      <c r="I36" s="79">
        <v>329.43</v>
      </c>
      <c r="J36" s="79">
        <v>329.43</v>
      </c>
      <c r="K36" s="79">
        <f t="shared" ref="K36:K67" si="1">I36-J36</f>
        <v>0</v>
      </c>
      <c r="L36" s="99" t="s">
        <v>409</v>
      </c>
      <c r="M36" s="77" t="s">
        <v>407</v>
      </c>
    </row>
    <row r="37" spans="1:13" ht="15" customHeight="1" x14ac:dyDescent="0.25">
      <c r="A37" s="75" t="s">
        <v>136</v>
      </c>
      <c r="B37" s="76">
        <v>46050</v>
      </c>
      <c r="C37" s="76">
        <v>46050</v>
      </c>
      <c r="D37" s="77" t="s">
        <v>138</v>
      </c>
      <c r="E37" s="77" t="s">
        <v>16</v>
      </c>
      <c r="F37" s="98" t="s">
        <v>408</v>
      </c>
      <c r="G37" s="77" t="s">
        <v>10</v>
      </c>
      <c r="H37" s="78">
        <v>350</v>
      </c>
      <c r="I37" s="79">
        <v>1974</v>
      </c>
      <c r="J37" s="79">
        <v>1974</v>
      </c>
      <c r="K37" s="79">
        <f t="shared" si="1"/>
        <v>0</v>
      </c>
      <c r="L37" s="99" t="s">
        <v>409</v>
      </c>
      <c r="M37" s="77" t="s">
        <v>407</v>
      </c>
    </row>
    <row r="38" spans="1:13" ht="15" customHeight="1" x14ac:dyDescent="0.25">
      <c r="A38" s="75" t="s">
        <v>136</v>
      </c>
      <c r="B38" s="76">
        <v>46052</v>
      </c>
      <c r="C38" s="76">
        <v>46052</v>
      </c>
      <c r="D38" s="77" t="s">
        <v>133</v>
      </c>
      <c r="E38" s="77" t="s">
        <v>17</v>
      </c>
      <c r="F38" s="98" t="s">
        <v>408</v>
      </c>
      <c r="G38" s="77" t="s">
        <v>10</v>
      </c>
      <c r="H38" s="78">
        <v>355.06</v>
      </c>
      <c r="I38" s="79">
        <v>2091.3000000000002</v>
      </c>
      <c r="J38" s="79">
        <v>2091.3000000000002</v>
      </c>
      <c r="K38" s="79">
        <f t="shared" si="1"/>
        <v>0</v>
      </c>
      <c r="L38" s="99" t="s">
        <v>409</v>
      </c>
      <c r="M38" s="77" t="s">
        <v>407</v>
      </c>
    </row>
    <row r="39" spans="1:13" ht="15" customHeight="1" x14ac:dyDescent="0.25">
      <c r="A39" s="75" t="s">
        <v>136</v>
      </c>
      <c r="B39" s="76">
        <v>46052</v>
      </c>
      <c r="C39" s="76">
        <v>46052</v>
      </c>
      <c r="D39" s="77" t="s">
        <v>133</v>
      </c>
      <c r="E39" s="77" t="s">
        <v>17</v>
      </c>
      <c r="F39" s="98" t="s">
        <v>408</v>
      </c>
      <c r="G39" s="77" t="s">
        <v>10</v>
      </c>
      <c r="H39" s="78">
        <v>292.14</v>
      </c>
      <c r="I39" s="79">
        <v>1720.7</v>
      </c>
      <c r="J39" s="79">
        <v>1720.7</v>
      </c>
      <c r="K39" s="79">
        <f t="shared" si="1"/>
        <v>0</v>
      </c>
      <c r="L39" s="99" t="s">
        <v>409</v>
      </c>
      <c r="M39" s="77" t="s">
        <v>407</v>
      </c>
    </row>
    <row r="40" spans="1:13" ht="15" customHeight="1" x14ac:dyDescent="0.25">
      <c r="A40" s="75" t="s">
        <v>136</v>
      </c>
      <c r="B40" s="76">
        <v>46052</v>
      </c>
      <c r="C40" s="76">
        <v>46052</v>
      </c>
      <c r="D40" s="77" t="s">
        <v>138</v>
      </c>
      <c r="E40" s="77" t="s">
        <v>16</v>
      </c>
      <c r="F40" s="98" t="s">
        <v>408</v>
      </c>
      <c r="G40" s="77" t="s">
        <v>10</v>
      </c>
      <c r="H40" s="78">
        <v>620.02</v>
      </c>
      <c r="I40" s="79">
        <v>3465.91</v>
      </c>
      <c r="J40" s="79">
        <v>3465.91</v>
      </c>
      <c r="K40" s="79">
        <f t="shared" si="1"/>
        <v>0</v>
      </c>
      <c r="L40" s="99" t="s">
        <v>409</v>
      </c>
      <c r="M40" s="77" t="s">
        <v>407</v>
      </c>
    </row>
    <row r="41" spans="1:13" ht="15" customHeight="1" x14ac:dyDescent="0.25">
      <c r="A41" s="75" t="s">
        <v>136</v>
      </c>
      <c r="B41" s="76">
        <v>46054</v>
      </c>
      <c r="C41" s="76">
        <v>46054</v>
      </c>
      <c r="D41" s="77" t="s">
        <v>133</v>
      </c>
      <c r="E41" s="77" t="s">
        <v>17</v>
      </c>
      <c r="F41" s="98" t="s">
        <v>408</v>
      </c>
      <c r="G41" s="77" t="s">
        <v>12</v>
      </c>
      <c r="H41" s="78">
        <v>38.909999999999997</v>
      </c>
      <c r="I41" s="79">
        <v>244.74</v>
      </c>
      <c r="J41" s="79">
        <v>244.74</v>
      </c>
      <c r="K41" s="79">
        <f t="shared" si="1"/>
        <v>0</v>
      </c>
      <c r="L41" s="99" t="s">
        <v>409</v>
      </c>
      <c r="M41" s="77" t="s">
        <v>407</v>
      </c>
    </row>
    <row r="42" spans="1:13" ht="15" customHeight="1" x14ac:dyDescent="0.25">
      <c r="A42" s="75" t="s">
        <v>136</v>
      </c>
      <c r="B42" s="76">
        <v>46055</v>
      </c>
      <c r="C42" s="76">
        <v>46048</v>
      </c>
      <c r="D42" s="77" t="s">
        <v>140</v>
      </c>
      <c r="E42" s="77" t="s">
        <v>21</v>
      </c>
      <c r="F42" s="98" t="s">
        <v>408</v>
      </c>
      <c r="G42" s="77" t="s">
        <v>12</v>
      </c>
      <c r="H42" s="78">
        <v>42.89</v>
      </c>
      <c r="I42" s="79">
        <v>299.37</v>
      </c>
      <c r="J42" s="79">
        <v>299.37</v>
      </c>
      <c r="K42" s="79">
        <f t="shared" si="1"/>
        <v>0</v>
      </c>
      <c r="L42" s="99" t="s">
        <v>409</v>
      </c>
      <c r="M42" s="77" t="s">
        <v>407</v>
      </c>
    </row>
    <row r="43" spans="1:13" ht="15" customHeight="1" x14ac:dyDescent="0.25">
      <c r="A43" s="75" t="s">
        <v>136</v>
      </c>
      <c r="B43" s="76">
        <v>46056</v>
      </c>
      <c r="C43" s="76">
        <v>46052</v>
      </c>
      <c r="D43" s="77" t="s">
        <v>133</v>
      </c>
      <c r="E43" s="77" t="s">
        <v>17</v>
      </c>
      <c r="F43" s="98" t="s">
        <v>408</v>
      </c>
      <c r="G43" s="77" t="s">
        <v>12</v>
      </c>
      <c r="H43" s="78">
        <v>24.12</v>
      </c>
      <c r="I43" s="79">
        <v>156.54</v>
      </c>
      <c r="J43" s="79">
        <v>156.54</v>
      </c>
      <c r="K43" s="79">
        <f t="shared" si="1"/>
        <v>0</v>
      </c>
      <c r="L43" s="99" t="s">
        <v>409</v>
      </c>
      <c r="M43" s="77" t="s">
        <v>407</v>
      </c>
    </row>
    <row r="44" spans="1:13" ht="15" customHeight="1" x14ac:dyDescent="0.25">
      <c r="A44" s="75" t="s">
        <v>136</v>
      </c>
      <c r="B44" s="76">
        <v>46056</v>
      </c>
      <c r="C44" s="76">
        <v>46047</v>
      </c>
      <c r="D44" s="77" t="s">
        <v>133</v>
      </c>
      <c r="E44" s="77" t="s">
        <v>17</v>
      </c>
      <c r="F44" s="98" t="s">
        <v>408</v>
      </c>
      <c r="G44" s="77" t="s">
        <v>12</v>
      </c>
      <c r="H44" s="78">
        <v>33.369999999999997</v>
      </c>
      <c r="I44" s="79">
        <v>216.57</v>
      </c>
      <c r="J44" s="79">
        <v>216.57</v>
      </c>
      <c r="K44" s="79">
        <f t="shared" si="1"/>
        <v>0</v>
      </c>
      <c r="L44" s="99" t="s">
        <v>409</v>
      </c>
      <c r="M44" s="77" t="s">
        <v>407</v>
      </c>
    </row>
    <row r="45" spans="1:13" ht="15" customHeight="1" x14ac:dyDescent="0.25">
      <c r="A45" s="75" t="s">
        <v>136</v>
      </c>
      <c r="B45" s="76">
        <v>46056</v>
      </c>
      <c r="C45" s="76">
        <v>46050</v>
      </c>
      <c r="D45" s="77" t="s">
        <v>133</v>
      </c>
      <c r="E45" s="77" t="s">
        <v>17</v>
      </c>
      <c r="F45" s="98" t="s">
        <v>408</v>
      </c>
      <c r="G45" s="77" t="s">
        <v>12</v>
      </c>
      <c r="H45" s="78">
        <v>27.55</v>
      </c>
      <c r="I45" s="79">
        <v>178.8</v>
      </c>
      <c r="J45" s="79">
        <v>178.8</v>
      </c>
      <c r="K45" s="79">
        <f t="shared" si="1"/>
        <v>0</v>
      </c>
      <c r="L45" s="99" t="s">
        <v>409</v>
      </c>
      <c r="M45" s="77" t="s">
        <v>407</v>
      </c>
    </row>
    <row r="46" spans="1:13" ht="15" customHeight="1" x14ac:dyDescent="0.25">
      <c r="A46" s="75" t="s">
        <v>136</v>
      </c>
      <c r="B46" s="76">
        <v>46056</v>
      </c>
      <c r="C46" s="76">
        <v>46056</v>
      </c>
      <c r="D46" s="77" t="s">
        <v>147</v>
      </c>
      <c r="E46" s="77" t="s">
        <v>20</v>
      </c>
      <c r="F46" s="98" t="s">
        <v>408</v>
      </c>
      <c r="G46" s="77" t="s">
        <v>10</v>
      </c>
      <c r="H46" s="78">
        <v>400</v>
      </c>
      <c r="I46" s="79">
        <v>2404</v>
      </c>
      <c r="J46" s="79">
        <v>2404</v>
      </c>
      <c r="K46" s="79">
        <f t="shared" si="1"/>
        <v>0</v>
      </c>
      <c r="L46" s="99" t="s">
        <v>409</v>
      </c>
      <c r="M46" s="77" t="s">
        <v>407</v>
      </c>
    </row>
    <row r="47" spans="1:13" ht="15" customHeight="1" x14ac:dyDescent="0.25">
      <c r="A47" s="75" t="s">
        <v>136</v>
      </c>
      <c r="B47" s="76">
        <v>46056</v>
      </c>
      <c r="C47" s="76">
        <v>46056</v>
      </c>
      <c r="D47" s="77" t="s">
        <v>133</v>
      </c>
      <c r="E47" s="77" t="s">
        <v>17</v>
      </c>
      <c r="F47" s="98" t="s">
        <v>408</v>
      </c>
      <c r="G47" s="77" t="s">
        <v>12</v>
      </c>
      <c r="H47" s="78">
        <v>35.72</v>
      </c>
      <c r="I47" s="79">
        <v>231.82</v>
      </c>
      <c r="J47" s="79">
        <v>231.82</v>
      </c>
      <c r="K47" s="79">
        <f t="shared" si="1"/>
        <v>0</v>
      </c>
      <c r="L47" s="99" t="s">
        <v>409</v>
      </c>
      <c r="M47" s="77" t="s">
        <v>407</v>
      </c>
    </row>
    <row r="48" spans="1:13" ht="15" customHeight="1" x14ac:dyDescent="0.25">
      <c r="A48" s="75" t="s">
        <v>136</v>
      </c>
      <c r="B48" s="76">
        <v>46057</v>
      </c>
      <c r="C48" s="76">
        <v>46057</v>
      </c>
      <c r="D48" s="77" t="s">
        <v>138</v>
      </c>
      <c r="E48" s="77" t="s">
        <v>16</v>
      </c>
      <c r="F48" s="98" t="s">
        <v>408</v>
      </c>
      <c r="G48" s="77" t="s">
        <v>10</v>
      </c>
      <c r="H48" s="78">
        <v>524.97</v>
      </c>
      <c r="I48" s="79">
        <v>2934.58</v>
      </c>
      <c r="J48" s="79">
        <v>2934.58</v>
      </c>
      <c r="K48" s="79">
        <f t="shared" si="1"/>
        <v>0</v>
      </c>
      <c r="L48" s="99" t="s">
        <v>409</v>
      </c>
      <c r="M48" s="77" t="s">
        <v>407</v>
      </c>
    </row>
    <row r="49" spans="1:13" ht="15" customHeight="1" x14ac:dyDescent="0.25">
      <c r="A49" s="75" t="s">
        <v>136</v>
      </c>
      <c r="B49" s="76">
        <v>46057</v>
      </c>
      <c r="C49" s="76">
        <v>46057</v>
      </c>
      <c r="D49" s="77" t="s">
        <v>138</v>
      </c>
      <c r="E49" s="77" t="s">
        <v>16</v>
      </c>
      <c r="F49" s="98" t="s">
        <v>408</v>
      </c>
      <c r="G49" s="77" t="s">
        <v>10</v>
      </c>
      <c r="H49" s="78">
        <v>507.01</v>
      </c>
      <c r="I49" s="79">
        <v>2834.19</v>
      </c>
      <c r="J49" s="79">
        <v>2834.19</v>
      </c>
      <c r="K49" s="79">
        <f t="shared" si="1"/>
        <v>0</v>
      </c>
      <c r="L49" s="99" t="s">
        <v>409</v>
      </c>
      <c r="M49" s="77" t="s">
        <v>407</v>
      </c>
    </row>
    <row r="50" spans="1:13" ht="15" customHeight="1" x14ac:dyDescent="0.25">
      <c r="A50" s="75" t="s">
        <v>136</v>
      </c>
      <c r="B50" s="76">
        <v>46058</v>
      </c>
      <c r="C50" s="76">
        <v>46046</v>
      </c>
      <c r="D50" s="77" t="s">
        <v>155</v>
      </c>
      <c r="E50" s="77" t="s">
        <v>22</v>
      </c>
      <c r="F50" s="98" t="s">
        <v>408</v>
      </c>
      <c r="G50" s="77" t="s">
        <v>10</v>
      </c>
      <c r="H50" s="78">
        <v>300</v>
      </c>
      <c r="I50" s="79">
        <v>1965</v>
      </c>
      <c r="J50" s="79">
        <v>1965</v>
      </c>
      <c r="K50" s="79">
        <f t="shared" si="1"/>
        <v>0</v>
      </c>
      <c r="L50" s="99" t="s">
        <v>409</v>
      </c>
      <c r="M50" s="77" t="s">
        <v>407</v>
      </c>
    </row>
    <row r="51" spans="1:13" ht="15" customHeight="1" x14ac:dyDescent="0.25">
      <c r="A51" s="75" t="s">
        <v>136</v>
      </c>
      <c r="B51" s="76">
        <v>46058</v>
      </c>
      <c r="C51" s="76">
        <v>46058</v>
      </c>
      <c r="D51" s="77" t="s">
        <v>138</v>
      </c>
      <c r="E51" s="77" t="s">
        <v>16</v>
      </c>
      <c r="F51" s="98" t="s">
        <v>408</v>
      </c>
      <c r="G51" s="77" t="s">
        <v>10</v>
      </c>
      <c r="H51" s="78">
        <v>560.01</v>
      </c>
      <c r="I51" s="79">
        <v>3130.46</v>
      </c>
      <c r="J51" s="79">
        <v>3130.46</v>
      </c>
      <c r="K51" s="79">
        <f t="shared" si="1"/>
        <v>0</v>
      </c>
      <c r="L51" s="99" t="s">
        <v>409</v>
      </c>
      <c r="M51" s="77" t="s">
        <v>407</v>
      </c>
    </row>
    <row r="52" spans="1:13" ht="15" customHeight="1" x14ac:dyDescent="0.25">
      <c r="A52" s="75" t="s">
        <v>136</v>
      </c>
      <c r="B52" s="76">
        <v>46059</v>
      </c>
      <c r="C52" s="76">
        <v>46058</v>
      </c>
      <c r="D52" s="77" t="s">
        <v>133</v>
      </c>
      <c r="E52" s="77" t="s">
        <v>17</v>
      </c>
      <c r="F52" s="98" t="s">
        <v>408</v>
      </c>
      <c r="G52" s="77" t="s">
        <v>10</v>
      </c>
      <c r="H52" s="78">
        <v>271</v>
      </c>
      <c r="I52" s="79">
        <v>1596.19</v>
      </c>
      <c r="J52" s="79">
        <v>1596.19</v>
      </c>
      <c r="K52" s="79">
        <f t="shared" si="1"/>
        <v>0</v>
      </c>
      <c r="L52" s="99" t="s">
        <v>409</v>
      </c>
      <c r="M52" s="77" t="s">
        <v>407</v>
      </c>
    </row>
    <row r="53" spans="1:13" ht="15" customHeight="1" x14ac:dyDescent="0.25">
      <c r="A53" s="75" t="s">
        <v>136</v>
      </c>
      <c r="B53" s="76">
        <v>46059</v>
      </c>
      <c r="C53" s="76">
        <v>46059</v>
      </c>
      <c r="D53" s="77" t="s">
        <v>138</v>
      </c>
      <c r="E53" s="77" t="s">
        <v>16</v>
      </c>
      <c r="F53" s="98" t="s">
        <v>408</v>
      </c>
      <c r="G53" s="77" t="s">
        <v>10</v>
      </c>
      <c r="H53" s="78">
        <v>384</v>
      </c>
      <c r="I53" s="79">
        <v>2146.56</v>
      </c>
      <c r="J53" s="79">
        <v>2146.56</v>
      </c>
      <c r="K53" s="79">
        <f t="shared" si="1"/>
        <v>0</v>
      </c>
      <c r="L53" s="99" t="s">
        <v>409</v>
      </c>
      <c r="M53" s="77" t="s">
        <v>407</v>
      </c>
    </row>
    <row r="54" spans="1:13" ht="15" customHeight="1" x14ac:dyDescent="0.25">
      <c r="A54" s="75" t="s">
        <v>136</v>
      </c>
      <c r="B54" s="76">
        <v>46063</v>
      </c>
      <c r="C54" s="76">
        <v>46055</v>
      </c>
      <c r="D54" s="77" t="s">
        <v>133</v>
      </c>
      <c r="E54" s="77" t="s">
        <v>17</v>
      </c>
      <c r="F54" s="98" t="s">
        <v>408</v>
      </c>
      <c r="G54" s="77" t="s">
        <v>12</v>
      </c>
      <c r="H54" s="78">
        <v>18.13</v>
      </c>
      <c r="I54" s="79">
        <v>117.66</v>
      </c>
      <c r="J54" s="79">
        <v>117.66</v>
      </c>
      <c r="K54" s="79">
        <f t="shared" si="1"/>
        <v>0</v>
      </c>
      <c r="L54" s="99" t="s">
        <v>409</v>
      </c>
      <c r="M54" s="77" t="s">
        <v>407</v>
      </c>
    </row>
    <row r="55" spans="1:13" ht="15" customHeight="1" x14ac:dyDescent="0.25">
      <c r="A55" s="75" t="s">
        <v>136</v>
      </c>
      <c r="B55" s="76">
        <v>46063</v>
      </c>
      <c r="C55" s="76">
        <v>46059</v>
      </c>
      <c r="D55" s="77" t="s">
        <v>133</v>
      </c>
      <c r="E55" s="77" t="s">
        <v>17</v>
      </c>
      <c r="F55" s="98" t="s">
        <v>408</v>
      </c>
      <c r="G55" s="77" t="s">
        <v>12</v>
      </c>
      <c r="H55" s="78">
        <v>32.43</v>
      </c>
      <c r="I55" s="79">
        <v>210.47</v>
      </c>
      <c r="J55" s="79">
        <v>210.47</v>
      </c>
      <c r="K55" s="79">
        <f t="shared" si="1"/>
        <v>0</v>
      </c>
      <c r="L55" s="99" t="s">
        <v>409</v>
      </c>
      <c r="M55" s="77" t="s">
        <v>407</v>
      </c>
    </row>
    <row r="56" spans="1:13" ht="15" customHeight="1" x14ac:dyDescent="0.25">
      <c r="A56" s="75" t="s">
        <v>136</v>
      </c>
      <c r="B56" s="76">
        <v>46064</v>
      </c>
      <c r="C56" s="76">
        <v>46055</v>
      </c>
      <c r="D56" s="77" t="s">
        <v>140</v>
      </c>
      <c r="E56" s="77" t="s">
        <v>21</v>
      </c>
      <c r="F56" s="98" t="s">
        <v>408</v>
      </c>
      <c r="G56" s="77" t="s">
        <v>12</v>
      </c>
      <c r="H56" s="78">
        <v>39.590000000000003</v>
      </c>
      <c r="I56" s="79">
        <v>276.33999999999997</v>
      </c>
      <c r="J56" s="79">
        <v>276.33999999999997</v>
      </c>
      <c r="K56" s="79">
        <f t="shared" si="1"/>
        <v>0</v>
      </c>
      <c r="L56" s="99" t="s">
        <v>409</v>
      </c>
      <c r="M56" s="77" t="s">
        <v>407</v>
      </c>
    </row>
    <row r="57" spans="1:13" ht="15" customHeight="1" x14ac:dyDescent="0.25">
      <c r="A57" s="75" t="s">
        <v>136</v>
      </c>
      <c r="B57" s="76">
        <v>46064</v>
      </c>
      <c r="C57" s="76">
        <v>46064</v>
      </c>
      <c r="D57" s="77" t="s">
        <v>138</v>
      </c>
      <c r="E57" s="77" t="s">
        <v>16</v>
      </c>
      <c r="F57" s="98" t="s">
        <v>408</v>
      </c>
      <c r="G57" s="77" t="s">
        <v>10</v>
      </c>
      <c r="H57" s="78">
        <v>330.67</v>
      </c>
      <c r="I57" s="79">
        <v>1848.45</v>
      </c>
      <c r="J57" s="79">
        <v>1848.45</v>
      </c>
      <c r="K57" s="79">
        <f t="shared" si="1"/>
        <v>0</v>
      </c>
      <c r="L57" s="99" t="s">
        <v>409</v>
      </c>
      <c r="M57" s="77" t="s">
        <v>407</v>
      </c>
    </row>
    <row r="58" spans="1:13" ht="15" customHeight="1" x14ac:dyDescent="0.25">
      <c r="A58" s="75" t="s">
        <v>136</v>
      </c>
      <c r="B58" s="76">
        <v>46066</v>
      </c>
      <c r="C58" s="76">
        <v>46057</v>
      </c>
      <c r="D58" s="77" t="s">
        <v>156</v>
      </c>
      <c r="E58" s="77" t="s">
        <v>69</v>
      </c>
      <c r="F58" s="98" t="s">
        <v>408</v>
      </c>
      <c r="G58" s="77" t="s">
        <v>12</v>
      </c>
      <c r="H58" s="78">
        <v>32.880000000000003</v>
      </c>
      <c r="I58" s="79">
        <v>213.06</v>
      </c>
      <c r="J58" s="79">
        <v>213.06</v>
      </c>
      <c r="K58" s="79">
        <f t="shared" si="1"/>
        <v>0</v>
      </c>
      <c r="L58" s="99" t="s">
        <v>409</v>
      </c>
      <c r="M58" s="77" t="s">
        <v>407</v>
      </c>
    </row>
    <row r="59" spans="1:13" ht="15" customHeight="1" x14ac:dyDescent="0.25">
      <c r="A59" s="75" t="s">
        <v>136</v>
      </c>
      <c r="B59" s="76">
        <v>46066</v>
      </c>
      <c r="C59" s="76">
        <v>46066</v>
      </c>
      <c r="D59" s="77" t="s">
        <v>138</v>
      </c>
      <c r="E59" s="77" t="s">
        <v>16</v>
      </c>
      <c r="F59" s="98" t="s">
        <v>408</v>
      </c>
      <c r="G59" s="77" t="s">
        <v>10</v>
      </c>
      <c r="H59" s="78">
        <v>600.02</v>
      </c>
      <c r="I59" s="79">
        <v>3354.12</v>
      </c>
      <c r="J59" s="79">
        <v>3354.11</v>
      </c>
      <c r="K59" s="79">
        <f t="shared" si="1"/>
        <v>9.9999999997635314E-3</v>
      </c>
      <c r="L59" s="99" t="s">
        <v>409</v>
      </c>
      <c r="M59" s="77" t="s">
        <v>407</v>
      </c>
    </row>
    <row r="60" spans="1:13" ht="15" customHeight="1" x14ac:dyDescent="0.25">
      <c r="A60" s="75" t="s">
        <v>136</v>
      </c>
      <c r="B60" s="76">
        <v>46066</v>
      </c>
      <c r="C60" s="76">
        <v>46066</v>
      </c>
      <c r="D60" s="77" t="s">
        <v>133</v>
      </c>
      <c r="E60" s="77" t="s">
        <v>17</v>
      </c>
      <c r="F60" s="98" t="s">
        <v>408</v>
      </c>
      <c r="G60" s="77" t="s">
        <v>10</v>
      </c>
      <c r="H60" s="78">
        <v>330.04</v>
      </c>
      <c r="I60" s="79">
        <v>1943.94</v>
      </c>
      <c r="J60" s="79">
        <v>1943.94</v>
      </c>
      <c r="K60" s="79">
        <f t="shared" si="1"/>
        <v>0</v>
      </c>
      <c r="L60" s="99" t="s">
        <v>409</v>
      </c>
      <c r="M60" s="77" t="s">
        <v>407</v>
      </c>
    </row>
    <row r="61" spans="1:13" ht="15" customHeight="1" x14ac:dyDescent="0.25">
      <c r="A61" s="75" t="s">
        <v>136</v>
      </c>
      <c r="B61" s="76">
        <v>46071</v>
      </c>
      <c r="C61" s="76">
        <v>46066</v>
      </c>
      <c r="D61" s="77" t="s">
        <v>140</v>
      </c>
      <c r="E61" s="77" t="s">
        <v>21</v>
      </c>
      <c r="F61" s="98" t="s">
        <v>408</v>
      </c>
      <c r="G61" s="77" t="s">
        <v>12</v>
      </c>
      <c r="H61" s="78">
        <v>28.02</v>
      </c>
      <c r="I61" s="79">
        <v>195.58</v>
      </c>
      <c r="J61" s="79">
        <v>195.58</v>
      </c>
      <c r="K61" s="79">
        <f t="shared" si="1"/>
        <v>0</v>
      </c>
      <c r="L61" s="99" t="s">
        <v>409</v>
      </c>
      <c r="M61" s="77" t="s">
        <v>407</v>
      </c>
    </row>
    <row r="62" spans="1:13" ht="15" customHeight="1" x14ac:dyDescent="0.25">
      <c r="A62" s="75" t="s">
        <v>136</v>
      </c>
      <c r="B62" s="76">
        <v>46071</v>
      </c>
      <c r="C62" s="76">
        <v>46062</v>
      </c>
      <c r="D62" s="77" t="s">
        <v>156</v>
      </c>
      <c r="E62" s="77" t="s">
        <v>69</v>
      </c>
      <c r="F62" s="98" t="s">
        <v>408</v>
      </c>
      <c r="G62" s="77" t="s">
        <v>12</v>
      </c>
      <c r="H62" s="78">
        <v>34.76</v>
      </c>
      <c r="I62" s="79">
        <v>225.24</v>
      </c>
      <c r="J62" s="79">
        <v>225.24</v>
      </c>
      <c r="K62" s="79">
        <f t="shared" si="1"/>
        <v>0</v>
      </c>
      <c r="L62" s="99" t="s">
        <v>409</v>
      </c>
      <c r="M62" s="77" t="s">
        <v>407</v>
      </c>
    </row>
    <row r="63" spans="1:13" ht="15" customHeight="1" x14ac:dyDescent="0.25">
      <c r="A63" s="75" t="s">
        <v>136</v>
      </c>
      <c r="B63" s="76">
        <v>46071</v>
      </c>
      <c r="C63" s="76">
        <v>46063</v>
      </c>
      <c r="D63" s="77" t="s">
        <v>133</v>
      </c>
      <c r="E63" s="77" t="s">
        <v>17</v>
      </c>
      <c r="F63" s="98" t="s">
        <v>408</v>
      </c>
      <c r="G63" s="77" t="s">
        <v>12</v>
      </c>
      <c r="H63" s="78">
        <v>16.36</v>
      </c>
      <c r="I63" s="79">
        <v>106.18</v>
      </c>
      <c r="J63" s="79">
        <v>106.18</v>
      </c>
      <c r="K63" s="79">
        <f t="shared" si="1"/>
        <v>0</v>
      </c>
      <c r="L63" s="99" t="s">
        <v>409</v>
      </c>
      <c r="M63" s="77" t="s">
        <v>407</v>
      </c>
    </row>
    <row r="64" spans="1:13" ht="15" customHeight="1" x14ac:dyDescent="0.25">
      <c r="A64" s="75" t="s">
        <v>136</v>
      </c>
      <c r="B64" s="76">
        <v>46071</v>
      </c>
      <c r="C64" s="76">
        <v>46066</v>
      </c>
      <c r="D64" s="77" t="s">
        <v>133</v>
      </c>
      <c r="E64" s="77" t="s">
        <v>17</v>
      </c>
      <c r="F64" s="98" t="s">
        <v>408</v>
      </c>
      <c r="G64" s="77" t="s">
        <v>12</v>
      </c>
      <c r="H64" s="78">
        <v>23.21</v>
      </c>
      <c r="I64" s="79">
        <v>150.63</v>
      </c>
      <c r="J64" s="79">
        <v>150.63</v>
      </c>
      <c r="K64" s="79">
        <f t="shared" si="1"/>
        <v>0</v>
      </c>
      <c r="L64" s="99" t="s">
        <v>409</v>
      </c>
      <c r="M64" s="77" t="s">
        <v>407</v>
      </c>
    </row>
    <row r="65" spans="1:13" ht="15" customHeight="1" x14ac:dyDescent="0.25">
      <c r="A65" s="75" t="s">
        <v>136</v>
      </c>
      <c r="B65" s="76">
        <v>46072</v>
      </c>
      <c r="C65" s="76">
        <v>46064</v>
      </c>
      <c r="D65" s="77" t="s">
        <v>140</v>
      </c>
      <c r="E65" s="77" t="s">
        <v>21</v>
      </c>
      <c r="F65" s="98" t="s">
        <v>408</v>
      </c>
      <c r="G65" s="77" t="s">
        <v>12</v>
      </c>
      <c r="H65" s="78">
        <v>37.57</v>
      </c>
      <c r="I65" s="79">
        <v>262.24</v>
      </c>
      <c r="J65" s="79">
        <v>262.24</v>
      </c>
      <c r="K65" s="79">
        <f t="shared" si="1"/>
        <v>0</v>
      </c>
      <c r="L65" s="99" t="s">
        <v>409</v>
      </c>
      <c r="M65" s="77" t="s">
        <v>407</v>
      </c>
    </row>
    <row r="66" spans="1:13" ht="15" customHeight="1" x14ac:dyDescent="0.25">
      <c r="A66" s="75" t="s">
        <v>136</v>
      </c>
      <c r="B66" s="76">
        <v>46072</v>
      </c>
      <c r="C66" s="76">
        <v>46072</v>
      </c>
      <c r="D66" s="77" t="s">
        <v>133</v>
      </c>
      <c r="E66" s="77" t="s">
        <v>17</v>
      </c>
      <c r="F66" s="98" t="s">
        <v>408</v>
      </c>
      <c r="G66" s="77" t="s">
        <v>10</v>
      </c>
      <c r="H66" s="78">
        <v>268.08</v>
      </c>
      <c r="I66" s="79">
        <v>1578.99</v>
      </c>
      <c r="J66" s="79">
        <v>1578.99</v>
      </c>
      <c r="K66" s="79">
        <f t="shared" si="1"/>
        <v>0</v>
      </c>
      <c r="L66" s="99" t="s">
        <v>409</v>
      </c>
      <c r="M66" s="77" t="s">
        <v>407</v>
      </c>
    </row>
    <row r="67" spans="1:13" ht="15" customHeight="1" x14ac:dyDescent="0.25">
      <c r="A67" s="75" t="s">
        <v>136</v>
      </c>
      <c r="B67" s="76">
        <v>46073</v>
      </c>
      <c r="C67" s="76">
        <v>46073</v>
      </c>
      <c r="D67" s="77" t="s">
        <v>138</v>
      </c>
      <c r="E67" s="77" t="s">
        <v>16</v>
      </c>
      <c r="F67" s="98" t="s">
        <v>408</v>
      </c>
      <c r="G67" s="77" t="s">
        <v>10</v>
      </c>
      <c r="H67" s="78">
        <v>546</v>
      </c>
      <c r="I67" s="79">
        <v>3052.14</v>
      </c>
      <c r="J67" s="79">
        <v>3052.14</v>
      </c>
      <c r="K67" s="79">
        <f t="shared" si="1"/>
        <v>0</v>
      </c>
      <c r="L67" s="99" t="s">
        <v>409</v>
      </c>
      <c r="M67" s="77" t="s">
        <v>407</v>
      </c>
    </row>
    <row r="68" spans="1:13" ht="15" customHeight="1" x14ac:dyDescent="0.25">
      <c r="A68" s="75" t="s">
        <v>136</v>
      </c>
      <c r="B68" s="76">
        <v>46073</v>
      </c>
      <c r="C68" s="76">
        <v>46073</v>
      </c>
      <c r="D68" s="77" t="s">
        <v>138</v>
      </c>
      <c r="E68" s="77" t="s">
        <v>16</v>
      </c>
      <c r="F68" s="98" t="s">
        <v>408</v>
      </c>
      <c r="G68" s="77" t="s">
        <v>11</v>
      </c>
      <c r="H68" s="78">
        <v>478.03</v>
      </c>
      <c r="I68" s="79">
        <v>2672.19</v>
      </c>
      <c r="J68" s="79">
        <v>2672.19</v>
      </c>
      <c r="K68" s="79">
        <f t="shared" ref="K68:K99" si="2">I68-J68</f>
        <v>0</v>
      </c>
      <c r="L68" s="99" t="s">
        <v>409</v>
      </c>
      <c r="M68" s="77" t="s">
        <v>407</v>
      </c>
    </row>
    <row r="69" spans="1:13" ht="15" customHeight="1" x14ac:dyDescent="0.25">
      <c r="A69" s="75" t="s">
        <v>136</v>
      </c>
      <c r="B69" s="76">
        <v>46073</v>
      </c>
      <c r="C69" s="76">
        <v>46073</v>
      </c>
      <c r="D69" s="77" t="s">
        <v>159</v>
      </c>
      <c r="E69" s="77" t="s">
        <v>71</v>
      </c>
      <c r="F69" s="98" t="s">
        <v>408</v>
      </c>
      <c r="G69" s="77" t="s">
        <v>12</v>
      </c>
      <c r="H69" s="78">
        <v>28.1</v>
      </c>
      <c r="I69" s="79">
        <v>182.37</v>
      </c>
      <c r="J69" s="79">
        <v>182.37</v>
      </c>
      <c r="K69" s="79">
        <f t="shared" si="2"/>
        <v>0</v>
      </c>
      <c r="L69" s="99" t="s">
        <v>409</v>
      </c>
      <c r="M69" s="77" t="s">
        <v>407</v>
      </c>
    </row>
    <row r="70" spans="1:13" ht="15" customHeight="1" x14ac:dyDescent="0.25">
      <c r="A70" s="75" t="s">
        <v>136</v>
      </c>
      <c r="B70" s="76">
        <v>46073</v>
      </c>
      <c r="C70" s="76">
        <v>46073</v>
      </c>
      <c r="D70" s="77" t="s">
        <v>133</v>
      </c>
      <c r="E70" s="77" t="s">
        <v>17</v>
      </c>
      <c r="F70" s="98" t="s">
        <v>408</v>
      </c>
      <c r="G70" s="77" t="s">
        <v>10</v>
      </c>
      <c r="H70" s="78">
        <v>328.01</v>
      </c>
      <c r="I70" s="79">
        <v>1931.98</v>
      </c>
      <c r="J70" s="79">
        <v>1931.98</v>
      </c>
      <c r="K70" s="79">
        <f t="shared" si="2"/>
        <v>0</v>
      </c>
      <c r="L70" s="99" t="s">
        <v>409</v>
      </c>
      <c r="M70" s="77" t="s">
        <v>407</v>
      </c>
    </row>
    <row r="71" spans="1:13" ht="15" customHeight="1" x14ac:dyDescent="0.25">
      <c r="A71" s="75" t="s">
        <v>136</v>
      </c>
      <c r="B71" s="76">
        <v>46076</v>
      </c>
      <c r="C71" s="76">
        <v>46076</v>
      </c>
      <c r="D71" s="77" t="s">
        <v>138</v>
      </c>
      <c r="E71" s="77" t="s">
        <v>16</v>
      </c>
      <c r="F71" s="98" t="s">
        <v>408</v>
      </c>
      <c r="G71" s="77" t="s">
        <v>10</v>
      </c>
      <c r="H71" s="78">
        <v>328.02</v>
      </c>
      <c r="I71" s="79">
        <v>1850.04</v>
      </c>
      <c r="J71" s="79">
        <v>1850.03</v>
      </c>
      <c r="K71" s="79">
        <f t="shared" si="2"/>
        <v>9.9999999999909051E-3</v>
      </c>
      <c r="L71" s="99" t="s">
        <v>409</v>
      </c>
      <c r="M71" s="77" t="s">
        <v>407</v>
      </c>
    </row>
    <row r="72" spans="1:13" ht="15" customHeight="1" x14ac:dyDescent="0.25">
      <c r="A72" s="75" t="s">
        <v>136</v>
      </c>
      <c r="B72" s="76">
        <v>46077</v>
      </c>
      <c r="C72" s="76">
        <v>46077</v>
      </c>
      <c r="D72" s="77" t="s">
        <v>138</v>
      </c>
      <c r="E72" s="77" t="s">
        <v>16</v>
      </c>
      <c r="F72" s="98" t="s">
        <v>408</v>
      </c>
      <c r="G72" s="77" t="s">
        <v>10</v>
      </c>
      <c r="H72" s="78">
        <v>365</v>
      </c>
      <c r="I72" s="79">
        <v>2058.6</v>
      </c>
      <c r="J72" s="79">
        <v>2058.6</v>
      </c>
      <c r="K72" s="79">
        <f t="shared" si="2"/>
        <v>0</v>
      </c>
      <c r="L72" s="99" t="s">
        <v>409</v>
      </c>
      <c r="M72" s="77" t="s">
        <v>407</v>
      </c>
    </row>
    <row r="73" spans="1:13" ht="15" customHeight="1" x14ac:dyDescent="0.25">
      <c r="A73" s="75" t="s">
        <v>136</v>
      </c>
      <c r="B73" s="76">
        <v>46078</v>
      </c>
      <c r="C73" s="76">
        <v>46078</v>
      </c>
      <c r="D73" s="77" t="s">
        <v>138</v>
      </c>
      <c r="E73" s="77" t="s">
        <v>16</v>
      </c>
      <c r="F73" s="98" t="s">
        <v>408</v>
      </c>
      <c r="G73" s="77" t="s">
        <v>10</v>
      </c>
      <c r="H73" s="78">
        <v>605.01</v>
      </c>
      <c r="I73" s="79">
        <v>3412.26</v>
      </c>
      <c r="J73" s="79">
        <v>3412.26</v>
      </c>
      <c r="K73" s="79">
        <f t="shared" si="2"/>
        <v>0</v>
      </c>
      <c r="L73" s="99" t="s">
        <v>409</v>
      </c>
      <c r="M73" s="77" t="s">
        <v>407</v>
      </c>
    </row>
    <row r="74" spans="1:13" ht="15" customHeight="1" x14ac:dyDescent="0.25">
      <c r="A74" s="75" t="s">
        <v>136</v>
      </c>
      <c r="B74" s="76">
        <v>46078</v>
      </c>
      <c r="C74" s="76">
        <v>46065</v>
      </c>
      <c r="D74" s="77" t="s">
        <v>160</v>
      </c>
      <c r="E74" s="77" t="s">
        <v>70</v>
      </c>
      <c r="F74" s="98" t="s">
        <v>408</v>
      </c>
      <c r="G74" s="77" t="s">
        <v>12</v>
      </c>
      <c r="H74" s="78">
        <v>31.95</v>
      </c>
      <c r="I74" s="79">
        <v>212.16</v>
      </c>
      <c r="J74" s="79">
        <v>212.15</v>
      </c>
      <c r="K74" s="79">
        <f t="shared" si="2"/>
        <v>9.9999999999909051E-3</v>
      </c>
      <c r="L74" s="99" t="s">
        <v>409</v>
      </c>
      <c r="M74" s="77" t="s">
        <v>407</v>
      </c>
    </row>
    <row r="75" spans="1:13" ht="15" customHeight="1" x14ac:dyDescent="0.25">
      <c r="A75" s="75" t="s">
        <v>136</v>
      </c>
      <c r="B75" s="76">
        <v>46079</v>
      </c>
      <c r="C75" s="76">
        <v>46079</v>
      </c>
      <c r="D75" s="77" t="s">
        <v>138</v>
      </c>
      <c r="E75" s="77" t="s">
        <v>16</v>
      </c>
      <c r="F75" s="98" t="s">
        <v>408</v>
      </c>
      <c r="G75" s="77" t="s">
        <v>11</v>
      </c>
      <c r="H75" s="78">
        <v>407.05</v>
      </c>
      <c r="I75" s="79">
        <v>2255.06</v>
      </c>
      <c r="J75" s="79">
        <v>2255.06</v>
      </c>
      <c r="K75" s="79">
        <f t="shared" si="2"/>
        <v>0</v>
      </c>
      <c r="L75" s="99" t="s">
        <v>409</v>
      </c>
      <c r="M75" s="77" t="s">
        <v>407</v>
      </c>
    </row>
    <row r="76" spans="1:13" ht="15" customHeight="1" x14ac:dyDescent="0.25">
      <c r="A76" s="75" t="s">
        <v>136</v>
      </c>
      <c r="B76" s="76">
        <v>46079</v>
      </c>
      <c r="C76" s="76">
        <v>46079</v>
      </c>
      <c r="D76" s="77" t="s">
        <v>138</v>
      </c>
      <c r="E76" s="77" t="s">
        <v>16</v>
      </c>
      <c r="F76" s="98" t="s">
        <v>408</v>
      </c>
      <c r="G76" s="77" t="s">
        <v>10</v>
      </c>
      <c r="H76" s="78">
        <v>464</v>
      </c>
      <c r="I76" s="79">
        <v>2616.9699999999998</v>
      </c>
      <c r="J76" s="79">
        <v>2616.96</v>
      </c>
      <c r="K76" s="79">
        <f t="shared" si="2"/>
        <v>9.9999999997635314E-3</v>
      </c>
      <c r="L76" s="99" t="s">
        <v>409</v>
      </c>
      <c r="M76" s="77" t="s">
        <v>407</v>
      </c>
    </row>
    <row r="77" spans="1:13" ht="15" customHeight="1" x14ac:dyDescent="0.25">
      <c r="A77" s="75" t="s">
        <v>136</v>
      </c>
      <c r="B77" s="76">
        <v>46080</v>
      </c>
      <c r="C77" s="76">
        <v>46080</v>
      </c>
      <c r="D77" s="77" t="s">
        <v>133</v>
      </c>
      <c r="E77" s="77" t="s">
        <v>17</v>
      </c>
      <c r="F77" s="98" t="s">
        <v>408</v>
      </c>
      <c r="G77" s="77" t="s">
        <v>12</v>
      </c>
      <c r="H77" s="78">
        <v>37.92</v>
      </c>
      <c r="I77" s="79">
        <v>246.1</v>
      </c>
      <c r="J77" s="79">
        <v>246.1</v>
      </c>
      <c r="K77" s="79">
        <f t="shared" si="2"/>
        <v>0</v>
      </c>
      <c r="L77" s="99" t="s">
        <v>409</v>
      </c>
      <c r="M77" s="77" t="s">
        <v>407</v>
      </c>
    </row>
    <row r="78" spans="1:13" ht="15" customHeight="1" x14ac:dyDescent="0.25">
      <c r="A78" s="75" t="s">
        <v>136</v>
      </c>
      <c r="B78" s="76">
        <v>46080</v>
      </c>
      <c r="C78" s="76">
        <v>46080</v>
      </c>
      <c r="D78" s="77" t="s">
        <v>133</v>
      </c>
      <c r="E78" s="77" t="s">
        <v>17</v>
      </c>
      <c r="F78" s="98" t="s">
        <v>408</v>
      </c>
      <c r="G78" s="77" t="s">
        <v>11</v>
      </c>
      <c r="H78" s="78">
        <v>460.01</v>
      </c>
      <c r="I78" s="79">
        <v>2709.46</v>
      </c>
      <c r="J78" s="79">
        <v>2709.46</v>
      </c>
      <c r="K78" s="79">
        <f t="shared" si="2"/>
        <v>0</v>
      </c>
      <c r="L78" s="99" t="s">
        <v>409</v>
      </c>
      <c r="M78" s="77" t="s">
        <v>407</v>
      </c>
    </row>
    <row r="79" spans="1:13" ht="15" customHeight="1" x14ac:dyDescent="0.25">
      <c r="A79" s="75" t="s">
        <v>136</v>
      </c>
      <c r="B79" s="76">
        <v>46080</v>
      </c>
      <c r="C79" s="76">
        <v>46080</v>
      </c>
      <c r="D79" s="77" t="s">
        <v>138</v>
      </c>
      <c r="E79" s="77" t="s">
        <v>16</v>
      </c>
      <c r="F79" s="98" t="s">
        <v>408</v>
      </c>
      <c r="G79" s="77" t="s">
        <v>10</v>
      </c>
      <c r="H79" s="78">
        <v>402.01</v>
      </c>
      <c r="I79" s="79">
        <v>2267.34</v>
      </c>
      <c r="J79" s="79">
        <v>2267.34</v>
      </c>
      <c r="K79" s="79">
        <f t="shared" si="2"/>
        <v>0</v>
      </c>
      <c r="L79" s="99" t="s">
        <v>409</v>
      </c>
      <c r="M79" s="77" t="s">
        <v>407</v>
      </c>
    </row>
    <row r="80" spans="1:13" ht="15" customHeight="1" x14ac:dyDescent="0.25">
      <c r="A80" s="75" t="s">
        <v>136</v>
      </c>
      <c r="B80" s="76">
        <v>46080</v>
      </c>
      <c r="C80" s="76">
        <v>46080</v>
      </c>
      <c r="D80" s="77" t="s">
        <v>138</v>
      </c>
      <c r="E80" s="77" t="s">
        <v>16</v>
      </c>
      <c r="F80" s="98" t="s">
        <v>408</v>
      </c>
      <c r="G80" s="77" t="s">
        <v>6</v>
      </c>
      <c r="H80" s="78">
        <v>19</v>
      </c>
      <c r="I80" s="79">
        <v>56.81</v>
      </c>
      <c r="J80" s="79">
        <v>56.81</v>
      </c>
      <c r="K80" s="79">
        <f t="shared" si="2"/>
        <v>0</v>
      </c>
      <c r="L80" s="99" t="s">
        <v>409</v>
      </c>
      <c r="M80" s="77" t="s">
        <v>407</v>
      </c>
    </row>
    <row r="81" spans="1:13" ht="15" customHeight="1" x14ac:dyDescent="0.25">
      <c r="A81" s="75" t="s">
        <v>136</v>
      </c>
      <c r="B81" s="76">
        <v>46083</v>
      </c>
      <c r="C81" s="76">
        <v>46072</v>
      </c>
      <c r="D81" s="77" t="s">
        <v>140</v>
      </c>
      <c r="E81" s="77" t="s">
        <v>21</v>
      </c>
      <c r="F81" s="98" t="s">
        <v>408</v>
      </c>
      <c r="G81" s="77" t="s">
        <v>12</v>
      </c>
      <c r="H81" s="78">
        <v>35.4</v>
      </c>
      <c r="I81" s="79">
        <v>247.09</v>
      </c>
      <c r="J81" s="79">
        <v>247.09</v>
      </c>
      <c r="K81" s="79">
        <f t="shared" si="2"/>
        <v>0</v>
      </c>
      <c r="L81" s="99" t="s">
        <v>409</v>
      </c>
      <c r="M81" s="77" t="s">
        <v>407</v>
      </c>
    </row>
    <row r="82" spans="1:13" ht="15" customHeight="1" x14ac:dyDescent="0.25">
      <c r="A82" s="75" t="s">
        <v>136</v>
      </c>
      <c r="B82" s="76">
        <v>46083</v>
      </c>
      <c r="C82" s="76">
        <v>46079</v>
      </c>
      <c r="D82" s="77" t="s">
        <v>133</v>
      </c>
      <c r="E82" s="77" t="s">
        <v>17</v>
      </c>
      <c r="F82" s="98" t="s">
        <v>408</v>
      </c>
      <c r="G82" s="77" t="s">
        <v>12</v>
      </c>
      <c r="H82" s="78">
        <v>44.45</v>
      </c>
      <c r="I82" s="79">
        <v>288.48</v>
      </c>
      <c r="J82" s="79">
        <v>288.48</v>
      </c>
      <c r="K82" s="79">
        <f t="shared" si="2"/>
        <v>0</v>
      </c>
      <c r="L82" s="99" t="s">
        <v>409</v>
      </c>
      <c r="M82" s="77" t="s">
        <v>407</v>
      </c>
    </row>
    <row r="83" spans="1:13" ht="15" customHeight="1" x14ac:dyDescent="0.25">
      <c r="A83" s="75" t="s">
        <v>136</v>
      </c>
      <c r="B83" s="76">
        <v>46083</v>
      </c>
      <c r="C83" s="76">
        <v>46078</v>
      </c>
      <c r="D83" s="77" t="s">
        <v>140</v>
      </c>
      <c r="E83" s="77" t="s">
        <v>21</v>
      </c>
      <c r="F83" s="98" t="s">
        <v>408</v>
      </c>
      <c r="G83" s="77" t="s">
        <v>12</v>
      </c>
      <c r="H83" s="78">
        <v>34.67</v>
      </c>
      <c r="I83" s="79">
        <v>242</v>
      </c>
      <c r="J83" s="79">
        <v>242</v>
      </c>
      <c r="K83" s="79">
        <f t="shared" si="2"/>
        <v>0</v>
      </c>
      <c r="L83" s="99" t="s">
        <v>409</v>
      </c>
      <c r="M83" s="77" t="s">
        <v>407</v>
      </c>
    </row>
    <row r="84" spans="1:13" ht="15" customHeight="1" x14ac:dyDescent="0.25">
      <c r="A84" s="75" t="s">
        <v>136</v>
      </c>
      <c r="B84" s="76">
        <v>46085</v>
      </c>
      <c r="C84" s="76">
        <v>46085</v>
      </c>
      <c r="D84" s="77" t="s">
        <v>133</v>
      </c>
      <c r="E84" s="77" t="s">
        <v>17</v>
      </c>
      <c r="F84" s="98" t="s">
        <v>408</v>
      </c>
      <c r="G84" s="77" t="s">
        <v>10</v>
      </c>
      <c r="H84" s="78">
        <v>450</v>
      </c>
      <c r="I84" s="79">
        <v>2740.5</v>
      </c>
      <c r="J84" s="79">
        <v>2740.5</v>
      </c>
      <c r="K84" s="79">
        <f t="shared" si="2"/>
        <v>0</v>
      </c>
      <c r="L84" s="99" t="s">
        <v>409</v>
      </c>
      <c r="M84" s="77" t="s">
        <v>407</v>
      </c>
    </row>
    <row r="85" spans="1:13" ht="15" customHeight="1" x14ac:dyDescent="0.25">
      <c r="A85" s="75" t="s">
        <v>136</v>
      </c>
      <c r="B85" s="76">
        <v>46086</v>
      </c>
      <c r="C85" s="76">
        <v>46086</v>
      </c>
      <c r="D85" s="77" t="s">
        <v>138</v>
      </c>
      <c r="E85" s="77" t="s">
        <v>16</v>
      </c>
      <c r="F85" s="98" t="s">
        <v>408</v>
      </c>
      <c r="G85" s="77" t="s">
        <v>10</v>
      </c>
      <c r="H85" s="78">
        <v>471.01</v>
      </c>
      <c r="I85" s="79">
        <v>2774.25</v>
      </c>
      <c r="J85" s="79">
        <v>2774.25</v>
      </c>
      <c r="K85" s="79">
        <f t="shared" si="2"/>
        <v>0</v>
      </c>
      <c r="L85" s="99" t="s">
        <v>409</v>
      </c>
      <c r="M85" s="77" t="s">
        <v>407</v>
      </c>
    </row>
    <row r="86" spans="1:13" ht="15" customHeight="1" x14ac:dyDescent="0.25">
      <c r="A86" s="75" t="s">
        <v>136</v>
      </c>
      <c r="B86" s="76">
        <v>46086</v>
      </c>
      <c r="C86" s="76">
        <v>46086</v>
      </c>
      <c r="D86" s="77" t="s">
        <v>138</v>
      </c>
      <c r="E86" s="77" t="s">
        <v>16</v>
      </c>
      <c r="F86" s="98" t="s">
        <v>408</v>
      </c>
      <c r="G86" s="77" t="s">
        <v>10</v>
      </c>
      <c r="H86" s="78">
        <v>494.04</v>
      </c>
      <c r="I86" s="79">
        <v>2909.9</v>
      </c>
      <c r="J86" s="79">
        <v>2909.9</v>
      </c>
      <c r="K86" s="79">
        <f t="shared" si="2"/>
        <v>0</v>
      </c>
      <c r="L86" s="99" t="s">
        <v>409</v>
      </c>
      <c r="M86" s="77" t="s">
        <v>407</v>
      </c>
    </row>
    <row r="87" spans="1:13" ht="15" customHeight="1" x14ac:dyDescent="0.25">
      <c r="A87" s="75" t="s">
        <v>136</v>
      </c>
      <c r="B87" s="76">
        <v>46086</v>
      </c>
      <c r="C87" s="76">
        <v>46086</v>
      </c>
      <c r="D87" s="77" t="s">
        <v>138</v>
      </c>
      <c r="E87" s="77" t="s">
        <v>16</v>
      </c>
      <c r="F87" s="98" t="s">
        <v>408</v>
      </c>
      <c r="G87" s="77" t="s">
        <v>10</v>
      </c>
      <c r="H87" s="78">
        <v>338</v>
      </c>
      <c r="I87" s="79">
        <v>1990.82</v>
      </c>
      <c r="J87" s="79">
        <v>1990.82</v>
      </c>
      <c r="K87" s="79">
        <f t="shared" si="2"/>
        <v>0</v>
      </c>
      <c r="L87" s="99" t="s">
        <v>409</v>
      </c>
      <c r="M87" s="77" t="s">
        <v>407</v>
      </c>
    </row>
    <row r="88" spans="1:13" ht="15" customHeight="1" x14ac:dyDescent="0.25">
      <c r="A88" s="75" t="s">
        <v>136</v>
      </c>
      <c r="B88" s="76">
        <v>46087</v>
      </c>
      <c r="C88" s="76">
        <v>46071</v>
      </c>
      <c r="D88" s="77" t="s">
        <v>158</v>
      </c>
      <c r="E88" s="77" t="s">
        <v>24</v>
      </c>
      <c r="F88" s="98" t="s">
        <v>408</v>
      </c>
      <c r="G88" s="77" t="s">
        <v>12</v>
      </c>
      <c r="H88" s="78">
        <v>38.93</v>
      </c>
      <c r="I88" s="79">
        <v>248.76</v>
      </c>
      <c r="J88" s="79">
        <v>248.76</v>
      </c>
      <c r="K88" s="79">
        <f t="shared" si="2"/>
        <v>0</v>
      </c>
      <c r="L88" s="99" t="s">
        <v>409</v>
      </c>
      <c r="M88" s="77" t="s">
        <v>407</v>
      </c>
    </row>
    <row r="89" spans="1:13" ht="15" customHeight="1" x14ac:dyDescent="0.25">
      <c r="A89" s="75" t="s">
        <v>136</v>
      </c>
      <c r="B89" s="76">
        <v>46087</v>
      </c>
      <c r="C89" s="76">
        <v>46073</v>
      </c>
      <c r="D89" s="77" t="s">
        <v>158</v>
      </c>
      <c r="E89" s="77" t="s">
        <v>24</v>
      </c>
      <c r="F89" s="98" t="s">
        <v>408</v>
      </c>
      <c r="G89" s="77" t="s">
        <v>12</v>
      </c>
      <c r="H89" s="78">
        <v>43.91</v>
      </c>
      <c r="I89" s="79">
        <v>280.58</v>
      </c>
      <c r="J89" s="79">
        <v>280.58</v>
      </c>
      <c r="K89" s="79">
        <f t="shared" si="2"/>
        <v>0</v>
      </c>
      <c r="L89" s="99" t="s">
        <v>409</v>
      </c>
      <c r="M89" s="77" t="s">
        <v>407</v>
      </c>
    </row>
    <row r="90" spans="1:13" ht="15" customHeight="1" x14ac:dyDescent="0.25">
      <c r="A90" s="75" t="s">
        <v>136</v>
      </c>
      <c r="B90" s="76">
        <v>46091</v>
      </c>
      <c r="C90" s="76">
        <v>46085</v>
      </c>
      <c r="D90" s="77" t="s">
        <v>140</v>
      </c>
      <c r="E90" s="77" t="s">
        <v>21</v>
      </c>
      <c r="F90" s="98" t="s">
        <v>408</v>
      </c>
      <c r="G90" s="77" t="s">
        <v>12</v>
      </c>
      <c r="H90" s="78">
        <v>44.66</v>
      </c>
      <c r="I90" s="79">
        <v>311.74</v>
      </c>
      <c r="J90" s="79">
        <v>311.73</v>
      </c>
      <c r="K90" s="79">
        <f t="shared" si="2"/>
        <v>9.9999999999909051E-3</v>
      </c>
      <c r="L90" s="99" t="s">
        <v>409</v>
      </c>
      <c r="M90" s="77" t="s">
        <v>407</v>
      </c>
    </row>
    <row r="91" spans="1:13" ht="15" customHeight="1" x14ac:dyDescent="0.25">
      <c r="A91" s="75" t="s">
        <v>136</v>
      </c>
      <c r="B91" s="76">
        <v>46027</v>
      </c>
      <c r="C91" s="76">
        <v>46027</v>
      </c>
      <c r="D91" s="77" t="s">
        <v>138</v>
      </c>
      <c r="E91" s="77" t="s">
        <v>16</v>
      </c>
      <c r="F91" s="98" t="s">
        <v>408</v>
      </c>
      <c r="G91" s="77" t="s">
        <v>6</v>
      </c>
      <c r="H91" s="78">
        <v>26.24</v>
      </c>
      <c r="I91" s="79">
        <v>78.459999999999994</v>
      </c>
      <c r="J91" s="79">
        <v>78.459999999999994</v>
      </c>
      <c r="K91" s="79">
        <f t="shared" si="2"/>
        <v>0</v>
      </c>
      <c r="L91" s="99" t="s">
        <v>409</v>
      </c>
      <c r="M91" s="77" t="s">
        <v>407</v>
      </c>
    </row>
    <row r="92" spans="1:13" ht="15" customHeight="1" x14ac:dyDescent="0.25">
      <c r="A92" s="75" t="s">
        <v>136</v>
      </c>
      <c r="B92" s="76">
        <v>46028</v>
      </c>
      <c r="C92" s="76">
        <v>46028</v>
      </c>
      <c r="D92" s="77" t="s">
        <v>138</v>
      </c>
      <c r="E92" s="77" t="s">
        <v>16</v>
      </c>
      <c r="F92" s="98" t="s">
        <v>408</v>
      </c>
      <c r="G92" s="77" t="s">
        <v>6</v>
      </c>
      <c r="H92" s="78">
        <v>34.229999999999997</v>
      </c>
      <c r="I92" s="79">
        <v>102.35</v>
      </c>
      <c r="J92" s="79">
        <v>102.35</v>
      </c>
      <c r="K92" s="79">
        <f t="shared" si="2"/>
        <v>0</v>
      </c>
      <c r="L92" s="99" t="s">
        <v>409</v>
      </c>
      <c r="M92" s="77" t="s">
        <v>407</v>
      </c>
    </row>
    <row r="93" spans="1:13" ht="15" customHeight="1" x14ac:dyDescent="0.25">
      <c r="A93" s="75" t="s">
        <v>136</v>
      </c>
      <c r="B93" s="76">
        <v>46041</v>
      </c>
      <c r="C93" s="76">
        <v>46036</v>
      </c>
      <c r="D93" s="77" t="s">
        <v>137</v>
      </c>
      <c r="E93" s="77" t="s">
        <v>15</v>
      </c>
      <c r="F93" s="98" t="s">
        <v>408</v>
      </c>
      <c r="G93" s="77" t="s">
        <v>6</v>
      </c>
      <c r="H93" s="78">
        <v>15.67</v>
      </c>
      <c r="I93" s="79">
        <v>49.22</v>
      </c>
      <c r="J93" s="79">
        <v>49.22</v>
      </c>
      <c r="K93" s="79">
        <f t="shared" si="2"/>
        <v>0</v>
      </c>
      <c r="L93" s="99" t="s">
        <v>409</v>
      </c>
      <c r="M93" s="77" t="s">
        <v>407</v>
      </c>
    </row>
    <row r="94" spans="1:13" ht="15" customHeight="1" x14ac:dyDescent="0.25">
      <c r="A94" s="75" t="s">
        <v>136</v>
      </c>
      <c r="B94" s="76">
        <v>46042</v>
      </c>
      <c r="C94" s="76">
        <v>46042</v>
      </c>
      <c r="D94" s="77" t="s">
        <v>138</v>
      </c>
      <c r="E94" s="77" t="s">
        <v>16</v>
      </c>
      <c r="F94" s="98" t="s">
        <v>408</v>
      </c>
      <c r="G94" s="77" t="s">
        <v>6</v>
      </c>
      <c r="H94" s="78">
        <v>29.92</v>
      </c>
      <c r="I94" s="79">
        <v>89.46</v>
      </c>
      <c r="J94" s="79">
        <v>89.46</v>
      </c>
      <c r="K94" s="79">
        <f t="shared" si="2"/>
        <v>0</v>
      </c>
      <c r="L94" s="99" t="s">
        <v>409</v>
      </c>
      <c r="M94" s="77" t="s">
        <v>407</v>
      </c>
    </row>
    <row r="95" spans="1:13" ht="15" customHeight="1" x14ac:dyDescent="0.25">
      <c r="A95" s="75" t="s">
        <v>136</v>
      </c>
      <c r="B95" s="76">
        <v>46047</v>
      </c>
      <c r="C95" s="76">
        <v>46047</v>
      </c>
      <c r="D95" s="77" t="s">
        <v>138</v>
      </c>
      <c r="E95" s="77" t="s">
        <v>16</v>
      </c>
      <c r="F95" s="98" t="s">
        <v>408</v>
      </c>
      <c r="G95" s="77" t="s">
        <v>6</v>
      </c>
      <c r="H95" s="78">
        <v>42.27</v>
      </c>
      <c r="I95" s="79">
        <v>126.39</v>
      </c>
      <c r="J95" s="79">
        <v>126.39</v>
      </c>
      <c r="K95" s="79">
        <f t="shared" si="2"/>
        <v>0</v>
      </c>
      <c r="L95" s="99" t="s">
        <v>409</v>
      </c>
      <c r="M95" s="77" t="s">
        <v>407</v>
      </c>
    </row>
    <row r="96" spans="1:13" ht="15" customHeight="1" x14ac:dyDescent="0.25">
      <c r="A96" s="75" t="s">
        <v>136</v>
      </c>
      <c r="B96" s="76">
        <v>46048</v>
      </c>
      <c r="C96" s="76">
        <v>46048</v>
      </c>
      <c r="D96" s="77" t="s">
        <v>138</v>
      </c>
      <c r="E96" s="77" t="s">
        <v>16</v>
      </c>
      <c r="F96" s="98" t="s">
        <v>408</v>
      </c>
      <c r="G96" s="77" t="s">
        <v>6</v>
      </c>
      <c r="H96" s="78">
        <v>26.08</v>
      </c>
      <c r="I96" s="79">
        <v>77.98</v>
      </c>
      <c r="J96" s="79">
        <v>77.98</v>
      </c>
      <c r="K96" s="79">
        <f t="shared" si="2"/>
        <v>0</v>
      </c>
      <c r="L96" s="99" t="s">
        <v>409</v>
      </c>
      <c r="M96" s="77" t="s">
        <v>407</v>
      </c>
    </row>
    <row r="97" spans="1:13" ht="15" customHeight="1" x14ac:dyDescent="0.25">
      <c r="A97" s="75" t="s">
        <v>136</v>
      </c>
      <c r="B97" s="76">
        <v>46049</v>
      </c>
      <c r="C97" s="76">
        <v>46049</v>
      </c>
      <c r="D97" s="77" t="s">
        <v>138</v>
      </c>
      <c r="E97" s="77" t="s">
        <v>16</v>
      </c>
      <c r="F97" s="98" t="s">
        <v>408</v>
      </c>
      <c r="G97" s="77" t="s">
        <v>6</v>
      </c>
      <c r="H97" s="78">
        <v>43.06</v>
      </c>
      <c r="I97" s="79">
        <v>128.75</v>
      </c>
      <c r="J97" s="79">
        <v>128.75</v>
      </c>
      <c r="K97" s="79">
        <f t="shared" si="2"/>
        <v>0</v>
      </c>
      <c r="L97" s="99" t="s">
        <v>409</v>
      </c>
      <c r="M97" s="77" t="s">
        <v>407</v>
      </c>
    </row>
    <row r="98" spans="1:13" ht="15" customHeight="1" x14ac:dyDescent="0.25">
      <c r="A98" s="75" t="s">
        <v>136</v>
      </c>
      <c r="B98" s="76">
        <v>46049</v>
      </c>
      <c r="C98" s="76">
        <v>46049</v>
      </c>
      <c r="D98" s="77" t="s">
        <v>138</v>
      </c>
      <c r="E98" s="77" t="s">
        <v>16</v>
      </c>
      <c r="F98" s="98" t="s">
        <v>408</v>
      </c>
      <c r="G98" s="77" t="s">
        <v>6</v>
      </c>
      <c r="H98" s="78">
        <v>42.14</v>
      </c>
      <c r="I98" s="79">
        <v>126</v>
      </c>
      <c r="J98" s="79">
        <v>126</v>
      </c>
      <c r="K98" s="79">
        <f t="shared" si="2"/>
        <v>0</v>
      </c>
      <c r="L98" s="99" t="s">
        <v>409</v>
      </c>
      <c r="M98" s="77" t="s">
        <v>407</v>
      </c>
    </row>
    <row r="99" spans="1:13" ht="15" customHeight="1" x14ac:dyDescent="0.25">
      <c r="A99" s="75" t="s">
        <v>136</v>
      </c>
      <c r="B99" s="76">
        <v>46052</v>
      </c>
      <c r="C99" s="76">
        <v>46052</v>
      </c>
      <c r="D99" s="77" t="s">
        <v>138</v>
      </c>
      <c r="E99" s="77" t="s">
        <v>16</v>
      </c>
      <c r="F99" s="98" t="s">
        <v>408</v>
      </c>
      <c r="G99" s="77" t="s">
        <v>6</v>
      </c>
      <c r="H99" s="78">
        <v>34.19</v>
      </c>
      <c r="I99" s="79">
        <v>102.23</v>
      </c>
      <c r="J99" s="79">
        <v>102.23</v>
      </c>
      <c r="K99" s="79">
        <f t="shared" si="2"/>
        <v>0</v>
      </c>
      <c r="L99" s="99" t="s">
        <v>409</v>
      </c>
      <c r="M99" s="77" t="s">
        <v>407</v>
      </c>
    </row>
    <row r="100" spans="1:13" ht="15" customHeight="1" x14ac:dyDescent="0.25">
      <c r="A100" s="75" t="s">
        <v>136</v>
      </c>
      <c r="B100" s="76">
        <v>46052</v>
      </c>
      <c r="C100" s="76">
        <v>46052</v>
      </c>
      <c r="D100" s="77" t="s">
        <v>133</v>
      </c>
      <c r="E100" s="77" t="s">
        <v>17</v>
      </c>
      <c r="F100" s="98" t="s">
        <v>408</v>
      </c>
      <c r="G100" s="77" t="s">
        <v>6</v>
      </c>
      <c r="H100" s="78">
        <v>49</v>
      </c>
      <c r="I100" s="79">
        <v>171.01</v>
      </c>
      <c r="J100" s="79">
        <v>171.01</v>
      </c>
      <c r="K100" s="79">
        <f t="shared" ref="K100:K110" si="3">I100-J100</f>
        <v>0</v>
      </c>
      <c r="L100" s="99" t="s">
        <v>409</v>
      </c>
      <c r="M100" s="77" t="s">
        <v>407</v>
      </c>
    </row>
    <row r="101" spans="1:13" ht="15" customHeight="1" x14ac:dyDescent="0.25">
      <c r="A101" s="75" t="s">
        <v>136</v>
      </c>
      <c r="B101" s="76">
        <v>46056</v>
      </c>
      <c r="C101" s="76">
        <v>46056</v>
      </c>
      <c r="D101" s="77" t="s">
        <v>138</v>
      </c>
      <c r="E101" s="77" t="s">
        <v>16</v>
      </c>
      <c r="F101" s="98" t="s">
        <v>408</v>
      </c>
      <c r="G101" s="77" t="s">
        <v>6</v>
      </c>
      <c r="H101" s="78">
        <v>28.52</v>
      </c>
      <c r="I101" s="79">
        <v>85.27</v>
      </c>
      <c r="J101" s="79">
        <v>85.27</v>
      </c>
      <c r="K101" s="79">
        <f t="shared" si="3"/>
        <v>0</v>
      </c>
      <c r="L101" s="99" t="s">
        <v>409</v>
      </c>
      <c r="M101" s="77" t="s">
        <v>407</v>
      </c>
    </row>
    <row r="102" spans="1:13" ht="15" customHeight="1" x14ac:dyDescent="0.25">
      <c r="A102" s="75" t="s">
        <v>136</v>
      </c>
      <c r="B102" s="76">
        <v>46057</v>
      </c>
      <c r="C102" s="76">
        <v>46057</v>
      </c>
      <c r="D102" s="77" t="s">
        <v>138</v>
      </c>
      <c r="E102" s="77" t="s">
        <v>16</v>
      </c>
      <c r="F102" s="98" t="s">
        <v>408</v>
      </c>
      <c r="G102" s="77" t="s">
        <v>6</v>
      </c>
      <c r="H102" s="78">
        <v>35.65</v>
      </c>
      <c r="I102" s="79">
        <v>106.59</v>
      </c>
      <c r="J102" s="79">
        <v>106.59</v>
      </c>
      <c r="K102" s="79">
        <f t="shared" si="3"/>
        <v>0</v>
      </c>
      <c r="L102" s="99" t="s">
        <v>409</v>
      </c>
      <c r="M102" s="77" t="s">
        <v>407</v>
      </c>
    </row>
    <row r="103" spans="1:13" ht="15" customHeight="1" x14ac:dyDescent="0.25">
      <c r="A103" s="75" t="s">
        <v>136</v>
      </c>
      <c r="B103" s="76">
        <v>46058</v>
      </c>
      <c r="C103" s="76">
        <v>46058</v>
      </c>
      <c r="D103" s="77" t="s">
        <v>138</v>
      </c>
      <c r="E103" s="77" t="s">
        <v>16</v>
      </c>
      <c r="F103" s="98" t="s">
        <v>408</v>
      </c>
      <c r="G103" s="77" t="s">
        <v>6</v>
      </c>
      <c r="H103" s="78">
        <v>55.92</v>
      </c>
      <c r="I103" s="79">
        <v>167.2</v>
      </c>
      <c r="J103" s="79">
        <v>167.2</v>
      </c>
      <c r="K103" s="79">
        <f t="shared" si="3"/>
        <v>0</v>
      </c>
      <c r="L103" s="99" t="s">
        <v>409</v>
      </c>
      <c r="M103" s="77" t="s">
        <v>407</v>
      </c>
    </row>
    <row r="104" spans="1:13" ht="15" customHeight="1" x14ac:dyDescent="0.25">
      <c r="A104" s="75" t="s">
        <v>136</v>
      </c>
      <c r="B104" s="76">
        <v>46059</v>
      </c>
      <c r="C104" s="76">
        <v>46059</v>
      </c>
      <c r="D104" s="77" t="s">
        <v>138</v>
      </c>
      <c r="E104" s="77" t="s">
        <v>16</v>
      </c>
      <c r="F104" s="98" t="s">
        <v>408</v>
      </c>
      <c r="G104" s="77" t="s">
        <v>6</v>
      </c>
      <c r="H104" s="78">
        <v>19.98</v>
      </c>
      <c r="I104" s="79">
        <v>59.74</v>
      </c>
      <c r="J104" s="79">
        <v>59.74</v>
      </c>
      <c r="K104" s="79">
        <f t="shared" si="3"/>
        <v>0</v>
      </c>
      <c r="L104" s="99" t="s">
        <v>409</v>
      </c>
      <c r="M104" s="77" t="s">
        <v>407</v>
      </c>
    </row>
    <row r="105" spans="1:13" ht="15" customHeight="1" x14ac:dyDescent="0.25">
      <c r="A105" s="75" t="s">
        <v>136</v>
      </c>
      <c r="B105" s="76">
        <v>46064</v>
      </c>
      <c r="C105" s="76">
        <v>46064</v>
      </c>
      <c r="D105" s="77" t="s">
        <v>138</v>
      </c>
      <c r="E105" s="77" t="s">
        <v>16</v>
      </c>
      <c r="F105" s="98" t="s">
        <v>408</v>
      </c>
      <c r="G105" s="77" t="s">
        <v>6</v>
      </c>
      <c r="H105" s="78">
        <v>19.010000000000002</v>
      </c>
      <c r="I105" s="79">
        <v>56.84</v>
      </c>
      <c r="J105" s="79">
        <v>56.84</v>
      </c>
      <c r="K105" s="79">
        <f t="shared" si="3"/>
        <v>0</v>
      </c>
      <c r="L105" s="99" t="s">
        <v>409</v>
      </c>
      <c r="M105" s="77" t="s">
        <v>407</v>
      </c>
    </row>
    <row r="106" spans="1:13" ht="15" customHeight="1" x14ac:dyDescent="0.25">
      <c r="A106" s="75" t="s">
        <v>136</v>
      </c>
      <c r="B106" s="76">
        <v>46066</v>
      </c>
      <c r="C106" s="76">
        <v>46066</v>
      </c>
      <c r="D106" s="77" t="s">
        <v>138</v>
      </c>
      <c r="E106" s="77" t="s">
        <v>16</v>
      </c>
      <c r="F106" s="98" t="s">
        <v>408</v>
      </c>
      <c r="G106" s="77" t="s">
        <v>6</v>
      </c>
      <c r="H106" s="78">
        <v>25.38</v>
      </c>
      <c r="I106" s="79">
        <v>75.89</v>
      </c>
      <c r="J106" s="79">
        <v>75.89</v>
      </c>
      <c r="K106" s="79">
        <f t="shared" si="3"/>
        <v>0</v>
      </c>
      <c r="L106" s="99" t="s">
        <v>409</v>
      </c>
      <c r="M106" s="77" t="s">
        <v>407</v>
      </c>
    </row>
    <row r="107" spans="1:13" ht="15" customHeight="1" x14ac:dyDescent="0.25">
      <c r="A107" s="75" t="s">
        <v>136</v>
      </c>
      <c r="B107" s="76">
        <v>46077</v>
      </c>
      <c r="C107" s="76">
        <v>46073</v>
      </c>
      <c r="D107" s="77" t="s">
        <v>137</v>
      </c>
      <c r="E107" s="77" t="s">
        <v>15</v>
      </c>
      <c r="F107" s="98" t="s">
        <v>408</v>
      </c>
      <c r="G107" s="77" t="s">
        <v>6</v>
      </c>
      <c r="H107" s="78">
        <v>17.36</v>
      </c>
      <c r="I107" s="79">
        <v>54.53</v>
      </c>
      <c r="J107" s="79">
        <v>54.53</v>
      </c>
      <c r="K107" s="79">
        <f t="shared" si="3"/>
        <v>0</v>
      </c>
      <c r="L107" s="99" t="s">
        <v>409</v>
      </c>
      <c r="M107" s="77" t="s">
        <v>407</v>
      </c>
    </row>
    <row r="108" spans="1:13" ht="15" customHeight="1" x14ac:dyDescent="0.25">
      <c r="A108" s="75" t="s">
        <v>136</v>
      </c>
      <c r="B108" s="76">
        <v>46079</v>
      </c>
      <c r="C108" s="76">
        <v>46079</v>
      </c>
      <c r="D108" s="77" t="s">
        <v>138</v>
      </c>
      <c r="E108" s="77" t="s">
        <v>16</v>
      </c>
      <c r="F108" s="98" t="s">
        <v>408</v>
      </c>
      <c r="G108" s="77" t="s">
        <v>6</v>
      </c>
      <c r="H108" s="78">
        <v>37.82</v>
      </c>
      <c r="I108" s="79">
        <v>113.08</v>
      </c>
      <c r="J108" s="79">
        <v>113.08</v>
      </c>
      <c r="K108" s="79">
        <f t="shared" si="3"/>
        <v>0</v>
      </c>
      <c r="L108" s="99" t="s">
        <v>409</v>
      </c>
      <c r="M108" s="77" t="s">
        <v>407</v>
      </c>
    </row>
    <row r="109" spans="1:13" ht="15" customHeight="1" x14ac:dyDescent="0.25">
      <c r="A109" s="75" t="s">
        <v>136</v>
      </c>
      <c r="B109" s="76">
        <v>46086</v>
      </c>
      <c r="C109" s="76">
        <v>46086</v>
      </c>
      <c r="D109" s="77" t="s">
        <v>138</v>
      </c>
      <c r="E109" s="77" t="s">
        <v>16</v>
      </c>
      <c r="F109" s="98" t="s">
        <v>408</v>
      </c>
      <c r="G109" s="77" t="s">
        <v>6</v>
      </c>
      <c r="H109" s="78">
        <v>53.16</v>
      </c>
      <c r="I109" s="79">
        <v>158.94999999999999</v>
      </c>
      <c r="J109" s="79">
        <v>158.94999999999999</v>
      </c>
      <c r="K109" s="79">
        <f t="shared" si="3"/>
        <v>0</v>
      </c>
      <c r="L109" s="99" t="s">
        <v>409</v>
      </c>
      <c r="M109" s="77" t="s">
        <v>407</v>
      </c>
    </row>
    <row r="110" spans="1:13" ht="15" customHeight="1" x14ac:dyDescent="0.25">
      <c r="A110" s="75" t="s">
        <v>136</v>
      </c>
      <c r="B110" s="76">
        <v>46086</v>
      </c>
      <c r="C110" s="76">
        <v>46086</v>
      </c>
      <c r="D110" s="77" t="s">
        <v>138</v>
      </c>
      <c r="E110" s="77" t="s">
        <v>16</v>
      </c>
      <c r="F110" s="98" t="s">
        <v>408</v>
      </c>
      <c r="G110" s="77" t="s">
        <v>6</v>
      </c>
      <c r="H110" s="78">
        <v>32.020000000000003</v>
      </c>
      <c r="I110" s="79">
        <v>95.74</v>
      </c>
      <c r="J110" s="79">
        <v>95.74</v>
      </c>
      <c r="K110" s="79">
        <f t="shared" si="3"/>
        <v>0</v>
      </c>
      <c r="L110" s="99" t="s">
        <v>409</v>
      </c>
      <c r="M110" s="77" t="s">
        <v>407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M236"/>
  <sheetViews>
    <sheetView showGridLines="0" zoomScaleNormal="100" workbookViewId="0">
      <pane ySplit="4" topLeftCell="A5" activePane="bottomLeft" state="frozen"/>
      <selection pane="bottomLeft" activeCell="M5" sqref="M5"/>
    </sheetView>
  </sheetViews>
  <sheetFormatPr defaultColWidth="8.7109375" defaultRowHeight="15" x14ac:dyDescent="0.25"/>
  <cols>
    <col min="1" max="1" width="18" style="48" customWidth="1"/>
    <col min="2" max="3" width="13" customWidth="1"/>
    <col min="4" max="4" width="32" customWidth="1"/>
    <col min="5" max="5" width="22" customWidth="1"/>
    <col min="6" max="6" width="11" customWidth="1"/>
    <col min="7" max="7" width="16" customWidth="1"/>
    <col min="8" max="8" width="10" customWidth="1"/>
    <col min="9" max="10" width="15" customWidth="1"/>
    <col min="11" max="11" width="14" customWidth="1"/>
    <col min="12" max="12" width="28" customWidth="1"/>
    <col min="13" max="13" width="12" customWidth="1"/>
  </cols>
  <sheetData>
    <row r="1" spans="1:13" s="1" customFormat="1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31.5" customHeight="1" x14ac:dyDescent="0.25">
      <c r="A2" s="91" t="s">
        <v>403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15.75" customHeight="1" x14ac:dyDescent="0.25">
      <c r="A3" s="97" t="s">
        <v>404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21.75" customHeight="1" x14ac:dyDescent="0.25">
      <c r="A4" s="73" t="s">
        <v>120</v>
      </c>
      <c r="B4" s="74" t="s">
        <v>121</v>
      </c>
      <c r="C4" s="74" t="s">
        <v>122</v>
      </c>
      <c r="D4" s="74" t="s">
        <v>123</v>
      </c>
      <c r="E4" s="74" t="s">
        <v>124</v>
      </c>
      <c r="F4" s="74" t="s">
        <v>73</v>
      </c>
      <c r="G4" s="74" t="s">
        <v>114</v>
      </c>
      <c r="H4" s="74" t="s">
        <v>125</v>
      </c>
      <c r="I4" s="74" t="s">
        <v>126</v>
      </c>
      <c r="J4" s="74" t="s">
        <v>127</v>
      </c>
      <c r="K4" s="74" t="s">
        <v>128</v>
      </c>
      <c r="L4" s="74" t="s">
        <v>129</v>
      </c>
      <c r="M4" s="74" t="s">
        <v>130</v>
      </c>
    </row>
    <row r="5" spans="1:13" ht="15" customHeight="1" x14ac:dyDescent="0.25">
      <c r="A5" s="75" t="s">
        <v>132</v>
      </c>
      <c r="B5" s="76">
        <v>46025</v>
      </c>
      <c r="C5" s="77"/>
      <c r="D5" s="77" t="s">
        <v>133</v>
      </c>
      <c r="E5" s="77"/>
      <c r="F5" s="77"/>
      <c r="G5" s="77"/>
      <c r="H5" s="78"/>
      <c r="I5" s="79">
        <v>331.45</v>
      </c>
      <c r="J5" s="79"/>
      <c r="K5" s="79"/>
      <c r="L5" s="77"/>
      <c r="M5" s="77" t="s">
        <v>407</v>
      </c>
    </row>
    <row r="6" spans="1:13" ht="15" customHeight="1" x14ac:dyDescent="0.25">
      <c r="A6" s="75" t="s">
        <v>132</v>
      </c>
      <c r="B6" s="76">
        <v>46025</v>
      </c>
      <c r="C6" s="77"/>
      <c r="D6" s="77" t="s">
        <v>133</v>
      </c>
      <c r="E6" s="77"/>
      <c r="F6" s="77"/>
      <c r="G6" s="77"/>
      <c r="H6" s="78"/>
      <c r="I6" s="79">
        <v>331.45</v>
      </c>
      <c r="J6" s="79"/>
      <c r="K6" s="79"/>
      <c r="L6" s="77"/>
      <c r="M6" s="77" t="s">
        <v>407</v>
      </c>
    </row>
    <row r="7" spans="1:13" ht="15" customHeight="1" x14ac:dyDescent="0.25">
      <c r="A7" s="75" t="s">
        <v>132</v>
      </c>
      <c r="B7" s="76">
        <v>46025</v>
      </c>
      <c r="C7" s="77"/>
      <c r="D7" s="77" t="s">
        <v>134</v>
      </c>
      <c r="E7" s="77"/>
      <c r="F7" s="77"/>
      <c r="G7" s="77"/>
      <c r="H7" s="78"/>
      <c r="I7" s="79">
        <v>2930.06</v>
      </c>
      <c r="J7" s="79"/>
      <c r="K7" s="79"/>
      <c r="L7" s="77"/>
      <c r="M7" s="77" t="s">
        <v>407</v>
      </c>
    </row>
    <row r="8" spans="1:13" ht="15" customHeight="1" x14ac:dyDescent="0.25">
      <c r="A8" s="75" t="s">
        <v>132</v>
      </c>
      <c r="B8" s="76">
        <v>46026</v>
      </c>
      <c r="C8" s="77"/>
      <c r="D8" s="77" t="s">
        <v>135</v>
      </c>
      <c r="E8" s="77"/>
      <c r="F8" s="77"/>
      <c r="G8" s="77"/>
      <c r="H8" s="78"/>
      <c r="I8" s="79">
        <v>2381.25</v>
      </c>
      <c r="J8" s="79"/>
      <c r="K8" s="79"/>
      <c r="L8" s="77"/>
      <c r="M8" s="77" t="s">
        <v>407</v>
      </c>
    </row>
    <row r="9" spans="1:13" ht="15" customHeight="1" x14ac:dyDescent="0.25">
      <c r="A9" s="75" t="s">
        <v>132</v>
      </c>
      <c r="B9" s="76">
        <v>46027</v>
      </c>
      <c r="C9" s="77"/>
      <c r="D9" s="77" t="s">
        <v>137</v>
      </c>
      <c r="E9" s="77"/>
      <c r="F9" s="77"/>
      <c r="G9" s="77"/>
      <c r="H9" s="78"/>
      <c r="I9" s="79">
        <v>6813.05</v>
      </c>
      <c r="J9" s="79"/>
      <c r="K9" s="79"/>
      <c r="L9" s="77"/>
      <c r="M9" s="77" t="s">
        <v>407</v>
      </c>
    </row>
    <row r="10" spans="1:13" ht="15" customHeight="1" x14ac:dyDescent="0.25">
      <c r="A10" s="75" t="s">
        <v>132</v>
      </c>
      <c r="B10" s="76">
        <v>46028</v>
      </c>
      <c r="C10" s="77"/>
      <c r="D10" s="77" t="s">
        <v>139</v>
      </c>
      <c r="E10" s="77"/>
      <c r="F10" s="77"/>
      <c r="G10" s="77"/>
      <c r="H10" s="78"/>
      <c r="I10" s="79">
        <v>3358.32</v>
      </c>
      <c r="J10" s="79"/>
      <c r="K10" s="79"/>
      <c r="L10" s="77"/>
      <c r="M10" s="77" t="s">
        <v>407</v>
      </c>
    </row>
    <row r="11" spans="1:13" ht="15" customHeight="1" x14ac:dyDescent="0.25">
      <c r="A11" s="75" t="s">
        <v>132</v>
      </c>
      <c r="B11" s="76">
        <v>46030</v>
      </c>
      <c r="C11" s="77"/>
      <c r="D11" s="77" t="s">
        <v>141</v>
      </c>
      <c r="E11" s="77"/>
      <c r="F11" s="77"/>
      <c r="G11" s="77"/>
      <c r="H11" s="78"/>
      <c r="I11" s="79">
        <v>3160</v>
      </c>
      <c r="J11" s="79"/>
      <c r="K11" s="79"/>
      <c r="L11" s="77"/>
      <c r="M11" s="77" t="s">
        <v>407</v>
      </c>
    </row>
    <row r="12" spans="1:13" ht="15" customHeight="1" x14ac:dyDescent="0.25">
      <c r="A12" s="75" t="s">
        <v>132</v>
      </c>
      <c r="B12" s="76">
        <v>46031</v>
      </c>
      <c r="C12" s="77"/>
      <c r="D12" s="77" t="s">
        <v>134</v>
      </c>
      <c r="E12" s="77"/>
      <c r="F12" s="77"/>
      <c r="G12" s="77"/>
      <c r="H12" s="78"/>
      <c r="I12" s="79">
        <v>1513.11</v>
      </c>
      <c r="J12" s="79"/>
      <c r="K12" s="79"/>
      <c r="L12" s="77"/>
      <c r="M12" s="77" t="s">
        <v>407</v>
      </c>
    </row>
    <row r="13" spans="1:13" ht="15" customHeight="1" x14ac:dyDescent="0.25">
      <c r="A13" s="75" t="s">
        <v>132</v>
      </c>
      <c r="B13" s="76">
        <v>46031</v>
      </c>
      <c r="C13" s="77"/>
      <c r="D13" s="77" t="s">
        <v>134</v>
      </c>
      <c r="E13" s="77"/>
      <c r="F13" s="77"/>
      <c r="G13" s="77"/>
      <c r="H13" s="78"/>
      <c r="I13" s="79">
        <v>4014.1</v>
      </c>
      <c r="J13" s="79"/>
      <c r="K13" s="79"/>
      <c r="L13" s="77"/>
      <c r="M13" s="77" t="s">
        <v>407</v>
      </c>
    </row>
    <row r="14" spans="1:13" ht="15" customHeight="1" x14ac:dyDescent="0.25">
      <c r="A14" s="75" t="s">
        <v>132</v>
      </c>
      <c r="B14" s="76">
        <v>46031</v>
      </c>
      <c r="C14" s="77"/>
      <c r="D14" s="77" t="s">
        <v>138</v>
      </c>
      <c r="E14" s="77"/>
      <c r="F14" s="77"/>
      <c r="G14" s="77"/>
      <c r="H14" s="78"/>
      <c r="I14" s="79">
        <v>2744.15</v>
      </c>
      <c r="J14" s="79"/>
      <c r="K14" s="79"/>
      <c r="L14" s="77"/>
      <c r="M14" s="77" t="s">
        <v>407</v>
      </c>
    </row>
    <row r="15" spans="1:13" ht="15" customHeight="1" x14ac:dyDescent="0.25">
      <c r="A15" s="75" t="s">
        <v>132</v>
      </c>
      <c r="B15" s="76">
        <v>46031</v>
      </c>
      <c r="C15" s="77"/>
      <c r="D15" s="77" t="s">
        <v>138</v>
      </c>
      <c r="E15" s="77"/>
      <c r="F15" s="77"/>
      <c r="G15" s="77"/>
      <c r="H15" s="78"/>
      <c r="I15" s="79">
        <v>131.53</v>
      </c>
      <c r="J15" s="79"/>
      <c r="K15" s="79"/>
      <c r="L15" s="77"/>
      <c r="M15" s="77" t="s">
        <v>407</v>
      </c>
    </row>
    <row r="16" spans="1:13" ht="15" customHeight="1" x14ac:dyDescent="0.25">
      <c r="A16" s="75" t="s">
        <v>132</v>
      </c>
      <c r="B16" s="76">
        <v>46034</v>
      </c>
      <c r="C16" s="77"/>
      <c r="D16" s="77" t="s">
        <v>143</v>
      </c>
      <c r="E16" s="77"/>
      <c r="F16" s="77"/>
      <c r="G16" s="77"/>
      <c r="H16" s="78"/>
      <c r="I16" s="79">
        <v>2837.31</v>
      </c>
      <c r="J16" s="79"/>
      <c r="K16" s="79"/>
      <c r="L16" s="77"/>
      <c r="M16" s="77" t="s">
        <v>407</v>
      </c>
    </row>
    <row r="17" spans="1:13" ht="15" customHeight="1" x14ac:dyDescent="0.25">
      <c r="A17" s="75" t="s">
        <v>132</v>
      </c>
      <c r="B17" s="76">
        <v>46034</v>
      </c>
      <c r="C17" s="77"/>
      <c r="D17" s="77" t="s">
        <v>133</v>
      </c>
      <c r="E17" s="77"/>
      <c r="F17" s="77"/>
      <c r="G17" s="77"/>
      <c r="H17" s="78"/>
      <c r="I17" s="79">
        <v>265.7</v>
      </c>
      <c r="J17" s="79"/>
      <c r="K17" s="79"/>
      <c r="L17" s="77"/>
      <c r="M17" s="77" t="s">
        <v>407</v>
      </c>
    </row>
    <row r="18" spans="1:13" ht="15" customHeight="1" x14ac:dyDescent="0.25">
      <c r="A18" s="75" t="s">
        <v>132</v>
      </c>
      <c r="B18" s="76">
        <v>46034</v>
      </c>
      <c r="C18" s="77"/>
      <c r="D18" s="77" t="s">
        <v>144</v>
      </c>
      <c r="E18" s="77"/>
      <c r="F18" s="77"/>
      <c r="G18" s="77"/>
      <c r="H18" s="78"/>
      <c r="I18" s="79">
        <v>3450</v>
      </c>
      <c r="J18" s="79"/>
      <c r="K18" s="79"/>
      <c r="L18" s="77"/>
      <c r="M18" s="77" t="s">
        <v>407</v>
      </c>
    </row>
    <row r="19" spans="1:13" ht="15" customHeight="1" x14ac:dyDescent="0.25">
      <c r="A19" s="75" t="s">
        <v>132</v>
      </c>
      <c r="B19" s="76">
        <v>46035</v>
      </c>
      <c r="C19" s="77"/>
      <c r="D19" s="77" t="s">
        <v>137</v>
      </c>
      <c r="E19" s="77"/>
      <c r="F19" s="77"/>
      <c r="G19" s="77"/>
      <c r="H19" s="78"/>
      <c r="I19" s="79">
        <v>14526.89</v>
      </c>
      <c r="J19" s="79"/>
      <c r="K19" s="79"/>
      <c r="L19" s="77"/>
      <c r="M19" s="77" t="s">
        <v>407</v>
      </c>
    </row>
    <row r="20" spans="1:13" ht="15" customHeight="1" x14ac:dyDescent="0.25">
      <c r="A20" s="75" t="s">
        <v>132</v>
      </c>
      <c r="B20" s="76">
        <v>46036</v>
      </c>
      <c r="C20" s="77"/>
      <c r="D20" s="77" t="s">
        <v>139</v>
      </c>
      <c r="E20" s="77"/>
      <c r="F20" s="77"/>
      <c r="G20" s="77"/>
      <c r="H20" s="78"/>
      <c r="I20" s="79">
        <v>2202.44</v>
      </c>
      <c r="J20" s="79"/>
      <c r="K20" s="79"/>
      <c r="L20" s="77"/>
      <c r="M20" s="77" t="s">
        <v>407</v>
      </c>
    </row>
    <row r="21" spans="1:13" ht="15" customHeight="1" x14ac:dyDescent="0.25">
      <c r="A21" s="75" t="s">
        <v>132</v>
      </c>
      <c r="B21" s="76">
        <v>46037</v>
      </c>
      <c r="C21" s="77"/>
      <c r="D21" s="77" t="s">
        <v>145</v>
      </c>
      <c r="E21" s="77"/>
      <c r="F21" s="77"/>
      <c r="G21" s="77"/>
      <c r="H21" s="78"/>
      <c r="I21" s="79">
        <v>1912.32</v>
      </c>
      <c r="J21" s="79"/>
      <c r="K21" s="79"/>
      <c r="L21" s="77"/>
      <c r="M21" s="77" t="s">
        <v>407</v>
      </c>
    </row>
    <row r="22" spans="1:13" ht="15" customHeight="1" x14ac:dyDescent="0.25">
      <c r="A22" s="75" t="s">
        <v>132</v>
      </c>
      <c r="B22" s="76">
        <v>46037</v>
      </c>
      <c r="C22" s="77"/>
      <c r="D22" s="77" t="s">
        <v>134</v>
      </c>
      <c r="E22" s="77"/>
      <c r="F22" s="77"/>
      <c r="G22" s="77"/>
      <c r="H22" s="78"/>
      <c r="I22" s="79">
        <v>2870.2</v>
      </c>
      <c r="J22" s="79"/>
      <c r="K22" s="79"/>
      <c r="L22" s="77"/>
      <c r="M22" s="77" t="s">
        <v>407</v>
      </c>
    </row>
    <row r="23" spans="1:13" ht="15" customHeight="1" x14ac:dyDescent="0.25">
      <c r="A23" s="75" t="s">
        <v>132</v>
      </c>
      <c r="B23" s="76">
        <v>46037</v>
      </c>
      <c r="C23" s="77"/>
      <c r="D23" s="77" t="s">
        <v>146</v>
      </c>
      <c r="E23" s="77"/>
      <c r="F23" s="77"/>
      <c r="G23" s="77"/>
      <c r="H23" s="78"/>
      <c r="I23" s="79">
        <v>2592.12</v>
      </c>
      <c r="J23" s="79"/>
      <c r="K23" s="79"/>
      <c r="L23" s="77"/>
      <c r="M23" s="77" t="s">
        <v>407</v>
      </c>
    </row>
    <row r="24" spans="1:13" ht="15" customHeight="1" x14ac:dyDescent="0.25">
      <c r="A24" s="75" t="s">
        <v>132</v>
      </c>
      <c r="B24" s="76">
        <v>46038</v>
      </c>
      <c r="C24" s="77"/>
      <c r="D24" s="77" t="s">
        <v>134</v>
      </c>
      <c r="E24" s="77"/>
      <c r="F24" s="77"/>
      <c r="G24" s="77"/>
      <c r="H24" s="78"/>
      <c r="I24" s="79">
        <v>4036.33</v>
      </c>
      <c r="J24" s="79"/>
      <c r="K24" s="79"/>
      <c r="L24" s="77"/>
      <c r="M24" s="77" t="s">
        <v>407</v>
      </c>
    </row>
    <row r="25" spans="1:13" ht="15" customHeight="1" x14ac:dyDescent="0.25">
      <c r="A25" s="75" t="s">
        <v>132</v>
      </c>
      <c r="B25" s="76">
        <v>46038</v>
      </c>
      <c r="C25" s="77"/>
      <c r="D25" s="77" t="s">
        <v>134</v>
      </c>
      <c r="E25" s="77"/>
      <c r="F25" s="77"/>
      <c r="G25" s="77"/>
      <c r="H25" s="78"/>
      <c r="I25" s="79">
        <v>3742.2</v>
      </c>
      <c r="J25" s="79"/>
      <c r="K25" s="79"/>
      <c r="L25" s="77"/>
      <c r="M25" s="77" t="s">
        <v>407</v>
      </c>
    </row>
    <row r="26" spans="1:13" ht="15" customHeight="1" x14ac:dyDescent="0.25">
      <c r="A26" s="75" t="s">
        <v>132</v>
      </c>
      <c r="B26" s="76">
        <v>46039</v>
      </c>
      <c r="C26" s="77"/>
      <c r="D26" s="77" t="s">
        <v>134</v>
      </c>
      <c r="E26" s="77"/>
      <c r="F26" s="77"/>
      <c r="G26" s="77"/>
      <c r="H26" s="78"/>
      <c r="I26" s="79">
        <v>3985.66</v>
      </c>
      <c r="J26" s="79"/>
      <c r="K26" s="79"/>
      <c r="L26" s="77"/>
      <c r="M26" s="77" t="s">
        <v>407</v>
      </c>
    </row>
    <row r="27" spans="1:13" ht="15" customHeight="1" x14ac:dyDescent="0.25">
      <c r="A27" s="75" t="s">
        <v>132</v>
      </c>
      <c r="B27" s="76">
        <v>46039</v>
      </c>
      <c r="C27" s="77"/>
      <c r="D27" s="77" t="s">
        <v>147</v>
      </c>
      <c r="E27" s="77"/>
      <c r="F27" s="77"/>
      <c r="G27" s="77"/>
      <c r="H27" s="78"/>
      <c r="I27" s="79">
        <v>2512.1799999999998</v>
      </c>
      <c r="J27" s="79"/>
      <c r="K27" s="79"/>
      <c r="L27" s="77"/>
      <c r="M27" s="77" t="s">
        <v>407</v>
      </c>
    </row>
    <row r="28" spans="1:13" ht="15" customHeight="1" x14ac:dyDescent="0.25">
      <c r="A28" s="75" t="s">
        <v>132</v>
      </c>
      <c r="B28" s="76">
        <v>46039</v>
      </c>
      <c r="C28" s="77"/>
      <c r="D28" s="77" t="s">
        <v>148</v>
      </c>
      <c r="E28" s="77"/>
      <c r="F28" s="77"/>
      <c r="G28" s="77"/>
      <c r="H28" s="78"/>
      <c r="I28" s="79">
        <v>3781.76</v>
      </c>
      <c r="J28" s="79"/>
      <c r="K28" s="79"/>
      <c r="L28" s="77"/>
      <c r="M28" s="77" t="s">
        <v>407</v>
      </c>
    </row>
    <row r="29" spans="1:13" ht="15" customHeight="1" x14ac:dyDescent="0.25">
      <c r="A29" s="75" t="s">
        <v>132</v>
      </c>
      <c r="B29" s="76">
        <v>46041</v>
      </c>
      <c r="C29" s="77"/>
      <c r="D29" s="77" t="s">
        <v>143</v>
      </c>
      <c r="E29" s="77"/>
      <c r="F29" s="77"/>
      <c r="G29" s="77"/>
      <c r="H29" s="78"/>
      <c r="I29" s="79">
        <v>3510</v>
      </c>
      <c r="J29" s="79"/>
      <c r="K29" s="79"/>
      <c r="L29" s="77"/>
      <c r="M29" s="77" t="s">
        <v>407</v>
      </c>
    </row>
    <row r="30" spans="1:13" ht="15" customHeight="1" x14ac:dyDescent="0.25">
      <c r="A30" s="75" t="s">
        <v>132</v>
      </c>
      <c r="B30" s="76">
        <v>46041</v>
      </c>
      <c r="C30" s="77"/>
      <c r="D30" s="77" t="s">
        <v>137</v>
      </c>
      <c r="E30" s="77"/>
      <c r="F30" s="77"/>
      <c r="G30" s="77"/>
      <c r="H30" s="78"/>
      <c r="I30" s="79">
        <v>14515.75</v>
      </c>
      <c r="J30" s="79"/>
      <c r="K30" s="79"/>
      <c r="L30" s="77"/>
      <c r="M30" s="77" t="s">
        <v>407</v>
      </c>
    </row>
    <row r="31" spans="1:13" ht="15" customHeight="1" x14ac:dyDescent="0.25">
      <c r="A31" s="75" t="s">
        <v>132</v>
      </c>
      <c r="B31" s="76">
        <v>46041</v>
      </c>
      <c r="C31" s="77"/>
      <c r="D31" s="77" t="s">
        <v>134</v>
      </c>
      <c r="E31" s="77"/>
      <c r="F31" s="77"/>
      <c r="G31" s="77"/>
      <c r="H31" s="78"/>
      <c r="I31" s="79">
        <v>2870.2</v>
      </c>
      <c r="J31" s="79"/>
      <c r="K31" s="79"/>
      <c r="L31" s="77"/>
      <c r="M31" s="77" t="s">
        <v>407</v>
      </c>
    </row>
    <row r="32" spans="1:13" ht="15" customHeight="1" x14ac:dyDescent="0.25">
      <c r="A32" s="75" t="s">
        <v>132</v>
      </c>
      <c r="B32" s="76">
        <v>46042</v>
      </c>
      <c r="C32" s="77"/>
      <c r="D32" s="77" t="s">
        <v>134</v>
      </c>
      <c r="E32" s="77"/>
      <c r="F32" s="77"/>
      <c r="G32" s="77"/>
      <c r="H32" s="78"/>
      <c r="I32" s="79">
        <v>1952.16</v>
      </c>
      <c r="J32" s="79"/>
      <c r="K32" s="79"/>
      <c r="L32" s="77"/>
      <c r="M32" s="77" t="s">
        <v>407</v>
      </c>
    </row>
    <row r="33" spans="1:13" ht="15" customHeight="1" x14ac:dyDescent="0.25">
      <c r="A33" s="75" t="s">
        <v>132</v>
      </c>
      <c r="B33" s="76">
        <v>46043</v>
      </c>
      <c r="C33" s="77"/>
      <c r="D33" s="77" t="s">
        <v>135</v>
      </c>
      <c r="E33" s="77"/>
      <c r="F33" s="77"/>
      <c r="G33" s="77"/>
      <c r="H33" s="78"/>
      <c r="I33" s="79">
        <v>2095.02</v>
      </c>
      <c r="J33" s="79"/>
      <c r="K33" s="79"/>
      <c r="L33" s="77"/>
      <c r="M33" s="77" t="s">
        <v>407</v>
      </c>
    </row>
    <row r="34" spans="1:13" ht="15" customHeight="1" x14ac:dyDescent="0.25">
      <c r="A34" s="75" t="s">
        <v>132</v>
      </c>
      <c r="B34" s="76">
        <v>46043</v>
      </c>
      <c r="C34" s="77"/>
      <c r="D34" s="77" t="s">
        <v>149</v>
      </c>
      <c r="E34" s="77"/>
      <c r="F34" s="77"/>
      <c r="G34" s="77"/>
      <c r="H34" s="78"/>
      <c r="I34" s="79">
        <v>2160.06</v>
      </c>
      <c r="J34" s="79"/>
      <c r="K34" s="79"/>
      <c r="L34" s="77"/>
      <c r="M34" s="77" t="s">
        <v>407</v>
      </c>
    </row>
    <row r="35" spans="1:13" ht="15" customHeight="1" x14ac:dyDescent="0.25">
      <c r="A35" s="75" t="s">
        <v>132</v>
      </c>
      <c r="B35" s="76">
        <v>46044</v>
      </c>
      <c r="C35" s="77"/>
      <c r="D35" s="77" t="s">
        <v>141</v>
      </c>
      <c r="E35" s="77"/>
      <c r="F35" s="77"/>
      <c r="G35" s="77"/>
      <c r="H35" s="78"/>
      <c r="I35" s="79">
        <v>3160</v>
      </c>
      <c r="J35" s="79"/>
      <c r="K35" s="79"/>
      <c r="L35" s="77"/>
      <c r="M35" s="77" t="s">
        <v>407</v>
      </c>
    </row>
    <row r="36" spans="1:13" ht="15" customHeight="1" x14ac:dyDescent="0.25">
      <c r="A36" s="75" t="s">
        <v>132</v>
      </c>
      <c r="B36" s="76">
        <v>46046</v>
      </c>
      <c r="C36" s="77"/>
      <c r="D36" s="77" t="s">
        <v>150</v>
      </c>
      <c r="E36" s="77"/>
      <c r="F36" s="77"/>
      <c r="G36" s="77"/>
      <c r="H36" s="78"/>
      <c r="I36" s="79">
        <v>3745.08</v>
      </c>
      <c r="J36" s="79"/>
      <c r="K36" s="79"/>
      <c r="L36" s="77"/>
      <c r="M36" s="77" t="s">
        <v>407</v>
      </c>
    </row>
    <row r="37" spans="1:13" ht="15" customHeight="1" x14ac:dyDescent="0.25">
      <c r="A37" s="75" t="s">
        <v>132</v>
      </c>
      <c r="B37" s="76">
        <v>46048</v>
      </c>
      <c r="C37" s="77"/>
      <c r="D37" s="77" t="s">
        <v>137</v>
      </c>
      <c r="E37" s="77"/>
      <c r="F37" s="77"/>
      <c r="G37" s="77"/>
      <c r="H37" s="78"/>
      <c r="I37" s="79">
        <v>24081.13</v>
      </c>
      <c r="J37" s="79"/>
      <c r="K37" s="79"/>
      <c r="L37" s="77"/>
      <c r="M37" s="77" t="s">
        <v>407</v>
      </c>
    </row>
    <row r="38" spans="1:13" ht="15" customHeight="1" x14ac:dyDescent="0.25">
      <c r="A38" s="75" t="s">
        <v>132</v>
      </c>
      <c r="B38" s="76">
        <v>46049</v>
      </c>
      <c r="C38" s="77"/>
      <c r="D38" s="77" t="s">
        <v>143</v>
      </c>
      <c r="E38" s="77"/>
      <c r="F38" s="77"/>
      <c r="G38" s="77"/>
      <c r="H38" s="78"/>
      <c r="I38" s="79">
        <v>1170</v>
      </c>
      <c r="J38" s="79"/>
      <c r="K38" s="79"/>
      <c r="L38" s="77"/>
      <c r="M38" s="77" t="s">
        <v>407</v>
      </c>
    </row>
    <row r="39" spans="1:13" ht="15" customHeight="1" x14ac:dyDescent="0.25">
      <c r="A39" s="75" t="s">
        <v>132</v>
      </c>
      <c r="B39" s="76">
        <v>46049</v>
      </c>
      <c r="C39" s="77"/>
      <c r="D39" s="77" t="s">
        <v>151</v>
      </c>
      <c r="E39" s="77"/>
      <c r="F39" s="77"/>
      <c r="G39" s="77"/>
      <c r="H39" s="78"/>
      <c r="I39" s="79">
        <v>2400.08</v>
      </c>
      <c r="J39" s="79"/>
      <c r="K39" s="79"/>
      <c r="L39" s="77"/>
      <c r="M39" s="77" t="s">
        <v>407</v>
      </c>
    </row>
    <row r="40" spans="1:13" ht="15" customHeight="1" x14ac:dyDescent="0.25">
      <c r="A40" s="75" t="s">
        <v>132</v>
      </c>
      <c r="B40" s="76">
        <v>46049</v>
      </c>
      <c r="C40" s="77"/>
      <c r="D40" s="77" t="s">
        <v>144</v>
      </c>
      <c r="E40" s="77"/>
      <c r="F40" s="77"/>
      <c r="G40" s="77"/>
      <c r="H40" s="78"/>
      <c r="I40" s="79">
        <v>3486</v>
      </c>
      <c r="J40" s="79"/>
      <c r="K40" s="79"/>
      <c r="L40" s="77"/>
      <c r="M40" s="77" t="s">
        <v>407</v>
      </c>
    </row>
    <row r="41" spans="1:13" ht="15" customHeight="1" x14ac:dyDescent="0.25">
      <c r="A41" s="75" t="s">
        <v>132</v>
      </c>
      <c r="B41" s="76">
        <v>46050</v>
      </c>
      <c r="C41" s="77"/>
      <c r="D41" s="77" t="s">
        <v>152</v>
      </c>
      <c r="E41" s="77"/>
      <c r="F41" s="77"/>
      <c r="G41" s="77"/>
      <c r="H41" s="78"/>
      <c r="I41" s="79">
        <v>2416</v>
      </c>
      <c r="J41" s="79"/>
      <c r="K41" s="79"/>
      <c r="L41" s="77"/>
      <c r="M41" s="77" t="s">
        <v>407</v>
      </c>
    </row>
    <row r="42" spans="1:13" ht="15" customHeight="1" x14ac:dyDescent="0.25">
      <c r="A42" s="75" t="s">
        <v>132</v>
      </c>
      <c r="B42" s="76">
        <v>46050</v>
      </c>
      <c r="C42" s="77"/>
      <c r="D42" s="77" t="s">
        <v>153</v>
      </c>
      <c r="E42" s="77"/>
      <c r="F42" s="77"/>
      <c r="G42" s="77"/>
      <c r="H42" s="78"/>
      <c r="I42" s="79">
        <v>3090</v>
      </c>
      <c r="J42" s="79"/>
      <c r="K42" s="79"/>
      <c r="L42" s="77"/>
      <c r="M42" s="77" t="s">
        <v>407</v>
      </c>
    </row>
    <row r="43" spans="1:13" ht="15" customHeight="1" x14ac:dyDescent="0.25">
      <c r="A43" s="75" t="s">
        <v>132</v>
      </c>
      <c r="B43" s="76">
        <v>46051</v>
      </c>
      <c r="C43" s="77"/>
      <c r="D43" s="77" t="s">
        <v>134</v>
      </c>
      <c r="E43" s="77"/>
      <c r="F43" s="77"/>
      <c r="G43" s="77"/>
      <c r="H43" s="78"/>
      <c r="I43" s="79">
        <v>3920.65</v>
      </c>
      <c r="J43" s="79"/>
      <c r="K43" s="79"/>
      <c r="L43" s="77"/>
      <c r="M43" s="77" t="s">
        <v>407</v>
      </c>
    </row>
    <row r="44" spans="1:13" ht="15" customHeight="1" x14ac:dyDescent="0.25">
      <c r="A44" s="75" t="s">
        <v>132</v>
      </c>
      <c r="B44" s="76">
        <v>46052</v>
      </c>
      <c r="C44" s="77"/>
      <c r="D44" s="77" t="s">
        <v>153</v>
      </c>
      <c r="E44" s="77"/>
      <c r="F44" s="77"/>
      <c r="G44" s="77"/>
      <c r="H44" s="78"/>
      <c r="I44" s="79">
        <v>3090</v>
      </c>
      <c r="J44" s="79"/>
      <c r="K44" s="79"/>
      <c r="L44" s="77"/>
      <c r="M44" s="77" t="s">
        <v>407</v>
      </c>
    </row>
    <row r="45" spans="1:13" ht="15" customHeight="1" x14ac:dyDescent="0.25">
      <c r="A45" s="75" t="s">
        <v>132</v>
      </c>
      <c r="B45" s="76">
        <v>46053</v>
      </c>
      <c r="C45" s="77"/>
      <c r="D45" s="77" t="s">
        <v>154</v>
      </c>
      <c r="E45" s="77"/>
      <c r="F45" s="77"/>
      <c r="G45" s="77"/>
      <c r="H45" s="78"/>
      <c r="I45" s="79">
        <v>1248</v>
      </c>
      <c r="J45" s="79"/>
      <c r="K45" s="79"/>
      <c r="L45" s="77"/>
      <c r="M45" s="77" t="s">
        <v>407</v>
      </c>
    </row>
    <row r="46" spans="1:13" ht="15" customHeight="1" x14ac:dyDescent="0.25">
      <c r="A46" s="75" t="s">
        <v>132</v>
      </c>
      <c r="B46" s="76">
        <v>46055</v>
      </c>
      <c r="C46" s="77"/>
      <c r="D46" s="77" t="s">
        <v>147</v>
      </c>
      <c r="E46" s="77"/>
      <c r="F46" s="77"/>
      <c r="G46" s="77"/>
      <c r="H46" s="78"/>
      <c r="I46" s="79">
        <v>1803</v>
      </c>
      <c r="J46" s="79"/>
      <c r="K46" s="79"/>
      <c r="L46" s="77"/>
      <c r="M46" s="77" t="s">
        <v>407</v>
      </c>
    </row>
    <row r="47" spans="1:13" ht="15" customHeight="1" x14ac:dyDescent="0.25">
      <c r="A47" s="75" t="s">
        <v>132</v>
      </c>
      <c r="B47" s="76">
        <v>46056</v>
      </c>
      <c r="C47" s="77"/>
      <c r="D47" s="77" t="s">
        <v>137</v>
      </c>
      <c r="E47" s="77"/>
      <c r="F47" s="77"/>
      <c r="G47" s="77"/>
      <c r="H47" s="78"/>
      <c r="I47" s="79">
        <v>37562.800000000003</v>
      </c>
      <c r="J47" s="79"/>
      <c r="K47" s="79"/>
      <c r="L47" s="77"/>
      <c r="M47" s="77" t="s">
        <v>407</v>
      </c>
    </row>
    <row r="48" spans="1:13" ht="15" customHeight="1" x14ac:dyDescent="0.25">
      <c r="A48" s="75" t="s">
        <v>132</v>
      </c>
      <c r="B48" s="76">
        <v>46057</v>
      </c>
      <c r="C48" s="77"/>
      <c r="D48" s="77" t="s">
        <v>134</v>
      </c>
      <c r="E48" s="77"/>
      <c r="F48" s="77"/>
      <c r="G48" s="77"/>
      <c r="H48" s="78"/>
      <c r="I48" s="79">
        <v>2788.92</v>
      </c>
      <c r="J48" s="79"/>
      <c r="K48" s="79"/>
      <c r="L48" s="77"/>
      <c r="M48" s="77" t="s">
        <v>407</v>
      </c>
    </row>
    <row r="49" spans="1:13" ht="15" customHeight="1" x14ac:dyDescent="0.25">
      <c r="A49" s="75" t="s">
        <v>132</v>
      </c>
      <c r="B49" s="76">
        <v>46057</v>
      </c>
      <c r="C49" s="77"/>
      <c r="D49" s="77" t="s">
        <v>143</v>
      </c>
      <c r="E49" s="77"/>
      <c r="F49" s="77"/>
      <c r="G49" s="77"/>
      <c r="H49" s="78"/>
      <c r="I49" s="79">
        <v>3474.9</v>
      </c>
      <c r="J49" s="79"/>
      <c r="K49" s="79"/>
      <c r="L49" s="77"/>
      <c r="M49" s="77" t="s">
        <v>407</v>
      </c>
    </row>
    <row r="50" spans="1:13" ht="15" customHeight="1" x14ac:dyDescent="0.25">
      <c r="A50" s="75" t="s">
        <v>132</v>
      </c>
      <c r="B50" s="76">
        <v>46058</v>
      </c>
      <c r="C50" s="77"/>
      <c r="D50" s="77" t="s">
        <v>135</v>
      </c>
      <c r="E50" s="77"/>
      <c r="F50" s="77"/>
      <c r="G50" s="77"/>
      <c r="H50" s="78"/>
      <c r="I50" s="79">
        <v>2336.16</v>
      </c>
      <c r="J50" s="79"/>
      <c r="K50" s="79"/>
      <c r="L50" s="77"/>
      <c r="M50" s="77" t="s">
        <v>407</v>
      </c>
    </row>
    <row r="51" spans="1:13" ht="15" customHeight="1" x14ac:dyDescent="0.25">
      <c r="A51" s="75" t="s">
        <v>132</v>
      </c>
      <c r="B51" s="76">
        <v>46059</v>
      </c>
      <c r="C51" s="77"/>
      <c r="D51" s="77" t="s">
        <v>139</v>
      </c>
      <c r="E51" s="77"/>
      <c r="F51" s="77"/>
      <c r="G51" s="77"/>
      <c r="H51" s="78"/>
      <c r="I51" s="79">
        <v>2912.37</v>
      </c>
      <c r="J51" s="79"/>
      <c r="K51" s="79"/>
      <c r="L51" s="77"/>
      <c r="M51" s="77" t="s">
        <v>407</v>
      </c>
    </row>
    <row r="52" spans="1:13" ht="15" customHeight="1" x14ac:dyDescent="0.25">
      <c r="A52" s="75" t="s">
        <v>132</v>
      </c>
      <c r="B52" s="76">
        <v>46059</v>
      </c>
      <c r="C52" s="77"/>
      <c r="D52" s="77" t="s">
        <v>133</v>
      </c>
      <c r="E52" s="77"/>
      <c r="F52" s="77"/>
      <c r="G52" s="77"/>
      <c r="H52" s="78"/>
      <c r="I52" s="79">
        <v>108.19</v>
      </c>
      <c r="J52" s="79"/>
      <c r="K52" s="79"/>
      <c r="L52" s="77"/>
      <c r="M52" s="77" t="s">
        <v>407</v>
      </c>
    </row>
    <row r="53" spans="1:13" ht="15" customHeight="1" x14ac:dyDescent="0.25">
      <c r="A53" s="75" t="s">
        <v>132</v>
      </c>
      <c r="B53" s="76">
        <v>46060</v>
      </c>
      <c r="C53" s="77"/>
      <c r="D53" s="77" t="s">
        <v>134</v>
      </c>
      <c r="E53" s="77"/>
      <c r="F53" s="77"/>
      <c r="G53" s="77"/>
      <c r="H53" s="78"/>
      <c r="I53" s="79">
        <v>1748.81</v>
      </c>
      <c r="J53" s="79"/>
      <c r="K53" s="79"/>
      <c r="L53" s="77"/>
      <c r="M53" s="77" t="s">
        <v>407</v>
      </c>
    </row>
    <row r="54" spans="1:13" ht="15" customHeight="1" x14ac:dyDescent="0.25">
      <c r="A54" s="75" t="s">
        <v>132</v>
      </c>
      <c r="B54" s="76">
        <v>46061</v>
      </c>
      <c r="C54" s="77"/>
      <c r="D54" s="77" t="s">
        <v>141</v>
      </c>
      <c r="E54" s="77"/>
      <c r="F54" s="77"/>
      <c r="G54" s="77"/>
      <c r="H54" s="78"/>
      <c r="I54" s="79">
        <v>3160</v>
      </c>
      <c r="J54" s="79"/>
      <c r="K54" s="79"/>
      <c r="L54" s="77"/>
      <c r="M54" s="77" t="s">
        <v>407</v>
      </c>
    </row>
    <row r="55" spans="1:13" ht="15" customHeight="1" x14ac:dyDescent="0.25">
      <c r="A55" s="75" t="s">
        <v>132</v>
      </c>
      <c r="B55" s="76">
        <v>46062</v>
      </c>
      <c r="C55" s="77"/>
      <c r="D55" s="77" t="s">
        <v>134</v>
      </c>
      <c r="E55" s="77"/>
      <c r="F55" s="77"/>
      <c r="G55" s="77"/>
      <c r="H55" s="78"/>
      <c r="I55" s="79">
        <v>1930.13</v>
      </c>
      <c r="J55" s="79"/>
      <c r="K55" s="79"/>
      <c r="L55" s="77"/>
      <c r="M55" s="77" t="s">
        <v>407</v>
      </c>
    </row>
    <row r="56" spans="1:13" ht="15" customHeight="1" x14ac:dyDescent="0.25">
      <c r="A56" s="75" t="s">
        <v>132</v>
      </c>
      <c r="B56" s="76">
        <v>46062</v>
      </c>
      <c r="C56" s="77"/>
      <c r="D56" s="77" t="s">
        <v>137</v>
      </c>
      <c r="E56" s="77"/>
      <c r="F56" s="77"/>
      <c r="G56" s="77"/>
      <c r="H56" s="78"/>
      <c r="I56" s="79">
        <v>30169.119999999999</v>
      </c>
      <c r="J56" s="79"/>
      <c r="K56" s="79"/>
      <c r="L56" s="77"/>
      <c r="M56" s="77" t="s">
        <v>407</v>
      </c>
    </row>
    <row r="57" spans="1:13" ht="15" customHeight="1" x14ac:dyDescent="0.25">
      <c r="A57" s="75" t="s">
        <v>132</v>
      </c>
      <c r="B57" s="76">
        <v>46062</v>
      </c>
      <c r="C57" s="77"/>
      <c r="D57" s="77" t="s">
        <v>143</v>
      </c>
      <c r="E57" s="77"/>
      <c r="F57" s="77"/>
      <c r="G57" s="77"/>
      <c r="H57" s="78"/>
      <c r="I57" s="79">
        <v>3568.56</v>
      </c>
      <c r="J57" s="79"/>
      <c r="K57" s="79"/>
      <c r="L57" s="77"/>
      <c r="M57" s="77" t="s">
        <v>407</v>
      </c>
    </row>
    <row r="58" spans="1:13" ht="15" customHeight="1" x14ac:dyDescent="0.25">
      <c r="A58" s="75" t="s">
        <v>132</v>
      </c>
      <c r="B58" s="76">
        <v>46062</v>
      </c>
      <c r="C58" s="77"/>
      <c r="D58" s="77" t="s">
        <v>134</v>
      </c>
      <c r="E58" s="77"/>
      <c r="F58" s="77"/>
      <c r="G58" s="77"/>
      <c r="H58" s="78"/>
      <c r="I58" s="79">
        <v>1743</v>
      </c>
      <c r="J58" s="79"/>
      <c r="K58" s="79"/>
      <c r="L58" s="77"/>
      <c r="M58" s="77" t="s">
        <v>407</v>
      </c>
    </row>
    <row r="59" spans="1:13" ht="15" customHeight="1" x14ac:dyDescent="0.25">
      <c r="A59" s="75" t="s">
        <v>132</v>
      </c>
      <c r="B59" s="76">
        <v>46063</v>
      </c>
      <c r="C59" s="77"/>
      <c r="D59" s="77" t="s">
        <v>133</v>
      </c>
      <c r="E59" s="77"/>
      <c r="F59" s="77"/>
      <c r="G59" s="77"/>
      <c r="H59" s="78"/>
      <c r="I59" s="79">
        <v>348.84</v>
      </c>
      <c r="J59" s="79"/>
      <c r="K59" s="79"/>
      <c r="L59" s="77"/>
      <c r="M59" s="77" t="s">
        <v>407</v>
      </c>
    </row>
    <row r="60" spans="1:13" ht="15" customHeight="1" x14ac:dyDescent="0.25">
      <c r="A60" s="75" t="s">
        <v>132</v>
      </c>
      <c r="B60" s="76">
        <v>46063</v>
      </c>
      <c r="C60" s="77"/>
      <c r="D60" s="77" t="s">
        <v>134</v>
      </c>
      <c r="E60" s="77"/>
      <c r="F60" s="77"/>
      <c r="G60" s="77"/>
      <c r="H60" s="78"/>
      <c r="I60" s="79">
        <v>2033.5</v>
      </c>
      <c r="J60" s="79"/>
      <c r="K60" s="79"/>
      <c r="L60" s="77"/>
      <c r="M60" s="77" t="s">
        <v>407</v>
      </c>
    </row>
    <row r="61" spans="1:13" ht="15" customHeight="1" x14ac:dyDescent="0.25">
      <c r="A61" s="75" t="s">
        <v>132</v>
      </c>
      <c r="B61" s="76">
        <v>46064</v>
      </c>
      <c r="C61" s="77"/>
      <c r="D61" s="77" t="s">
        <v>134</v>
      </c>
      <c r="E61" s="77"/>
      <c r="F61" s="77"/>
      <c r="G61" s="77"/>
      <c r="H61" s="78"/>
      <c r="I61" s="79">
        <v>3718.4</v>
      </c>
      <c r="J61" s="79"/>
      <c r="K61" s="79"/>
      <c r="L61" s="77"/>
      <c r="M61" s="77" t="s">
        <v>407</v>
      </c>
    </row>
    <row r="62" spans="1:13" ht="15" customHeight="1" x14ac:dyDescent="0.25">
      <c r="A62" s="75" t="s">
        <v>132</v>
      </c>
      <c r="B62" s="76">
        <v>46065</v>
      </c>
      <c r="C62" s="77"/>
      <c r="D62" s="77" t="s">
        <v>139</v>
      </c>
      <c r="E62" s="77"/>
      <c r="F62" s="77"/>
      <c r="G62" s="77"/>
      <c r="H62" s="78"/>
      <c r="I62" s="79">
        <v>2605.5</v>
      </c>
      <c r="J62" s="79"/>
      <c r="K62" s="79"/>
      <c r="L62" s="77"/>
      <c r="M62" s="77" t="s">
        <v>407</v>
      </c>
    </row>
    <row r="63" spans="1:13" ht="15" customHeight="1" x14ac:dyDescent="0.25">
      <c r="A63" s="75" t="s">
        <v>132</v>
      </c>
      <c r="B63" s="76">
        <v>46066</v>
      </c>
      <c r="C63" s="77"/>
      <c r="D63" s="77" t="s">
        <v>144</v>
      </c>
      <c r="E63" s="77"/>
      <c r="F63" s="77"/>
      <c r="G63" s="77"/>
      <c r="H63" s="78"/>
      <c r="I63" s="79">
        <v>3420</v>
      </c>
      <c r="J63" s="79"/>
      <c r="K63" s="79"/>
      <c r="L63" s="77"/>
      <c r="M63" s="77" t="s">
        <v>407</v>
      </c>
    </row>
    <row r="64" spans="1:13" ht="15" customHeight="1" x14ac:dyDescent="0.25">
      <c r="A64" s="75" t="s">
        <v>132</v>
      </c>
      <c r="B64" s="76">
        <v>46067</v>
      </c>
      <c r="C64" s="77"/>
      <c r="D64" s="77" t="s">
        <v>139</v>
      </c>
      <c r="E64" s="77"/>
      <c r="F64" s="77"/>
      <c r="G64" s="77"/>
      <c r="H64" s="78"/>
      <c r="I64" s="79">
        <v>3207.66</v>
      </c>
      <c r="J64" s="79"/>
      <c r="K64" s="79"/>
      <c r="L64" s="77"/>
      <c r="M64" s="77" t="s">
        <v>407</v>
      </c>
    </row>
    <row r="65" spans="1:13" ht="15" customHeight="1" x14ac:dyDescent="0.25">
      <c r="A65" s="75" t="s">
        <v>132</v>
      </c>
      <c r="B65" s="76">
        <v>46068</v>
      </c>
      <c r="C65" s="77"/>
      <c r="D65" s="77" t="s">
        <v>146</v>
      </c>
      <c r="E65" s="77"/>
      <c r="F65" s="77"/>
      <c r="G65" s="77"/>
      <c r="H65" s="78"/>
      <c r="I65" s="79">
        <v>2660.98</v>
      </c>
      <c r="J65" s="79"/>
      <c r="K65" s="79"/>
      <c r="L65" s="77"/>
      <c r="M65" s="77" t="s">
        <v>407</v>
      </c>
    </row>
    <row r="66" spans="1:13" ht="15" customHeight="1" x14ac:dyDescent="0.25">
      <c r="A66" s="75" t="s">
        <v>132</v>
      </c>
      <c r="B66" s="76">
        <v>46068</v>
      </c>
      <c r="C66" s="77"/>
      <c r="D66" s="77" t="s">
        <v>151</v>
      </c>
      <c r="E66" s="77"/>
      <c r="F66" s="77"/>
      <c r="G66" s="77"/>
      <c r="H66" s="78"/>
      <c r="I66" s="79">
        <v>2669.2</v>
      </c>
      <c r="J66" s="79"/>
      <c r="K66" s="79"/>
      <c r="L66" s="77"/>
      <c r="M66" s="77" t="s">
        <v>407</v>
      </c>
    </row>
    <row r="67" spans="1:13" ht="15" customHeight="1" x14ac:dyDescent="0.25">
      <c r="A67" s="75" t="s">
        <v>132</v>
      </c>
      <c r="B67" s="76">
        <v>46069</v>
      </c>
      <c r="C67" s="77"/>
      <c r="D67" s="77" t="s">
        <v>137</v>
      </c>
      <c r="E67" s="77"/>
      <c r="F67" s="77"/>
      <c r="G67" s="77"/>
      <c r="H67" s="78"/>
      <c r="I67" s="79">
        <v>19731.259999999998</v>
      </c>
      <c r="J67" s="79"/>
      <c r="K67" s="79"/>
      <c r="L67" s="77"/>
      <c r="M67" s="77" t="s">
        <v>407</v>
      </c>
    </row>
    <row r="68" spans="1:13" ht="15" customHeight="1" x14ac:dyDescent="0.25">
      <c r="A68" s="75" t="s">
        <v>132</v>
      </c>
      <c r="B68" s="76">
        <v>46071</v>
      </c>
      <c r="C68" s="77"/>
      <c r="D68" s="77" t="s">
        <v>157</v>
      </c>
      <c r="E68" s="77"/>
      <c r="F68" s="77"/>
      <c r="G68" s="77"/>
      <c r="H68" s="78"/>
      <c r="I68" s="79">
        <v>908.68</v>
      </c>
      <c r="J68" s="79"/>
      <c r="K68" s="79"/>
      <c r="L68" s="77"/>
      <c r="M68" s="77" t="s">
        <v>407</v>
      </c>
    </row>
    <row r="69" spans="1:13" ht="15" customHeight="1" x14ac:dyDescent="0.25">
      <c r="A69" s="75" t="s">
        <v>132</v>
      </c>
      <c r="B69" s="76">
        <v>46071</v>
      </c>
      <c r="C69" s="77"/>
      <c r="D69" s="77" t="s">
        <v>141</v>
      </c>
      <c r="E69" s="77"/>
      <c r="F69" s="77"/>
      <c r="G69" s="77"/>
      <c r="H69" s="78"/>
      <c r="I69" s="79">
        <v>3754.08</v>
      </c>
      <c r="J69" s="79"/>
      <c r="K69" s="79"/>
      <c r="L69" s="77"/>
      <c r="M69" s="77" t="s">
        <v>407</v>
      </c>
    </row>
    <row r="70" spans="1:13" ht="15" customHeight="1" x14ac:dyDescent="0.25">
      <c r="A70" s="75" t="s">
        <v>132</v>
      </c>
      <c r="B70" s="76">
        <v>46072</v>
      </c>
      <c r="C70" s="77"/>
      <c r="D70" s="77" t="s">
        <v>149</v>
      </c>
      <c r="E70" s="77"/>
      <c r="F70" s="77"/>
      <c r="G70" s="77"/>
      <c r="H70" s="78"/>
      <c r="I70" s="79">
        <v>1728</v>
      </c>
      <c r="J70" s="79"/>
      <c r="K70" s="79"/>
      <c r="L70" s="77"/>
      <c r="M70" s="77" t="s">
        <v>407</v>
      </c>
    </row>
    <row r="71" spans="1:13" ht="15" customHeight="1" x14ac:dyDescent="0.25">
      <c r="A71" s="75" t="s">
        <v>132</v>
      </c>
      <c r="B71" s="76">
        <v>46072</v>
      </c>
      <c r="C71" s="77"/>
      <c r="D71" s="77" t="s">
        <v>158</v>
      </c>
      <c r="E71" s="77"/>
      <c r="F71" s="77"/>
      <c r="G71" s="77"/>
      <c r="H71" s="78"/>
      <c r="I71" s="79">
        <v>1144</v>
      </c>
      <c r="J71" s="79"/>
      <c r="K71" s="79"/>
      <c r="L71" s="77"/>
      <c r="M71" s="77" t="s">
        <v>407</v>
      </c>
    </row>
    <row r="72" spans="1:13" ht="15" customHeight="1" x14ac:dyDescent="0.25">
      <c r="A72" s="75" t="s">
        <v>132</v>
      </c>
      <c r="B72" s="76">
        <v>46073</v>
      </c>
      <c r="C72" s="77"/>
      <c r="D72" s="77" t="s">
        <v>139</v>
      </c>
      <c r="E72" s="77"/>
      <c r="F72" s="77"/>
      <c r="G72" s="77"/>
      <c r="H72" s="78"/>
      <c r="I72" s="79">
        <v>2182.83</v>
      </c>
      <c r="J72" s="79"/>
      <c r="K72" s="79"/>
      <c r="L72" s="77"/>
      <c r="M72" s="77" t="s">
        <v>407</v>
      </c>
    </row>
    <row r="73" spans="1:13" ht="15" customHeight="1" x14ac:dyDescent="0.25">
      <c r="A73" s="75" t="s">
        <v>132</v>
      </c>
      <c r="B73" s="76">
        <v>46075</v>
      </c>
      <c r="C73" s="77"/>
      <c r="D73" s="77" t="s">
        <v>133</v>
      </c>
      <c r="E73" s="77"/>
      <c r="F73" s="77"/>
      <c r="G73" s="77"/>
      <c r="H73" s="78"/>
      <c r="I73" s="79">
        <v>317.62</v>
      </c>
      <c r="J73" s="79"/>
      <c r="K73" s="79"/>
      <c r="L73" s="77"/>
      <c r="M73" s="77" t="s">
        <v>407</v>
      </c>
    </row>
    <row r="74" spans="1:13" ht="15" customHeight="1" x14ac:dyDescent="0.25">
      <c r="A74" s="75" t="s">
        <v>132</v>
      </c>
      <c r="B74" s="76">
        <v>46076</v>
      </c>
      <c r="C74" s="77"/>
      <c r="D74" s="77" t="s">
        <v>134</v>
      </c>
      <c r="E74" s="77"/>
      <c r="F74" s="77"/>
      <c r="G74" s="77"/>
      <c r="H74" s="78"/>
      <c r="I74" s="79">
        <v>2194.9</v>
      </c>
      <c r="J74" s="79"/>
      <c r="K74" s="79"/>
      <c r="L74" s="77"/>
      <c r="M74" s="77" t="s">
        <v>407</v>
      </c>
    </row>
    <row r="75" spans="1:13" ht="15" customHeight="1" x14ac:dyDescent="0.25">
      <c r="A75" s="75" t="s">
        <v>132</v>
      </c>
      <c r="B75" s="76">
        <v>46077</v>
      </c>
      <c r="C75" s="77"/>
      <c r="D75" s="77" t="s">
        <v>137</v>
      </c>
      <c r="E75" s="77"/>
      <c r="F75" s="77"/>
      <c r="G75" s="77"/>
      <c r="H75" s="78"/>
      <c r="I75" s="79">
        <v>9320.17</v>
      </c>
      <c r="J75" s="79"/>
      <c r="K75" s="79"/>
      <c r="L75" s="77"/>
      <c r="M75" s="77" t="s">
        <v>407</v>
      </c>
    </row>
    <row r="76" spans="1:13" ht="15" customHeight="1" x14ac:dyDescent="0.25">
      <c r="A76" s="75" t="s">
        <v>132</v>
      </c>
      <c r="B76" s="76">
        <v>46077</v>
      </c>
      <c r="C76" s="77"/>
      <c r="D76" s="77" t="s">
        <v>135</v>
      </c>
      <c r="E76" s="77"/>
      <c r="F76" s="77"/>
      <c r="G76" s="77"/>
      <c r="H76" s="78"/>
      <c r="I76" s="79">
        <v>2198.33</v>
      </c>
      <c r="J76" s="79"/>
      <c r="K76" s="79"/>
      <c r="L76" s="77"/>
      <c r="M76" s="77" t="s">
        <v>407</v>
      </c>
    </row>
    <row r="77" spans="1:13" ht="15" customHeight="1" x14ac:dyDescent="0.25">
      <c r="A77" s="75" t="s">
        <v>132</v>
      </c>
      <c r="B77" s="76">
        <v>46078</v>
      </c>
      <c r="C77" s="77"/>
      <c r="D77" s="77" t="s">
        <v>134</v>
      </c>
      <c r="E77" s="77"/>
      <c r="F77" s="77"/>
      <c r="G77" s="77"/>
      <c r="H77" s="78"/>
      <c r="I77" s="79">
        <v>3843.08</v>
      </c>
      <c r="J77" s="79"/>
      <c r="K77" s="79"/>
      <c r="L77" s="77"/>
      <c r="M77" s="77" t="s">
        <v>407</v>
      </c>
    </row>
    <row r="78" spans="1:13" ht="15" customHeight="1" x14ac:dyDescent="0.25">
      <c r="A78" s="75" t="s">
        <v>132</v>
      </c>
      <c r="B78" s="76">
        <v>46078</v>
      </c>
      <c r="C78" s="77"/>
      <c r="D78" s="77" t="s">
        <v>134</v>
      </c>
      <c r="E78" s="77"/>
      <c r="F78" s="77"/>
      <c r="G78" s="77"/>
      <c r="H78" s="78"/>
      <c r="I78" s="79">
        <v>71.33</v>
      </c>
      <c r="J78" s="79"/>
      <c r="K78" s="79"/>
      <c r="L78" s="77"/>
      <c r="M78" s="77" t="s">
        <v>407</v>
      </c>
    </row>
    <row r="79" spans="1:13" ht="15" customHeight="1" x14ac:dyDescent="0.25">
      <c r="A79" s="75" t="s">
        <v>132</v>
      </c>
      <c r="B79" s="76">
        <v>46079</v>
      </c>
      <c r="C79" s="77"/>
      <c r="D79" s="77" t="s">
        <v>149</v>
      </c>
      <c r="E79" s="77"/>
      <c r="F79" s="77"/>
      <c r="G79" s="77"/>
      <c r="H79" s="78"/>
      <c r="I79" s="79">
        <v>1123.2</v>
      </c>
      <c r="J79" s="79"/>
      <c r="K79" s="79"/>
      <c r="L79" s="77"/>
      <c r="M79" s="77" t="s">
        <v>407</v>
      </c>
    </row>
    <row r="80" spans="1:13" ht="15" customHeight="1" x14ac:dyDescent="0.25">
      <c r="A80" s="75" t="s">
        <v>132</v>
      </c>
      <c r="B80" s="76">
        <v>46079</v>
      </c>
      <c r="C80" s="77"/>
      <c r="D80" s="77" t="s">
        <v>141</v>
      </c>
      <c r="E80" s="77"/>
      <c r="F80" s="77"/>
      <c r="G80" s="77"/>
      <c r="H80" s="78"/>
      <c r="I80" s="79">
        <v>3310.23</v>
      </c>
      <c r="J80" s="79"/>
      <c r="K80" s="79"/>
      <c r="L80" s="77"/>
      <c r="M80" s="77" t="s">
        <v>407</v>
      </c>
    </row>
    <row r="81" spans="1:13" ht="15" customHeight="1" x14ac:dyDescent="0.25">
      <c r="A81" s="75" t="s">
        <v>132</v>
      </c>
      <c r="B81" s="76">
        <v>46079</v>
      </c>
      <c r="C81" s="77"/>
      <c r="D81" s="77" t="s">
        <v>143</v>
      </c>
      <c r="E81" s="77"/>
      <c r="F81" s="77"/>
      <c r="G81" s="77"/>
      <c r="H81" s="78"/>
      <c r="I81" s="79">
        <v>1111.5</v>
      </c>
      <c r="J81" s="79"/>
      <c r="K81" s="79"/>
      <c r="L81" s="77"/>
      <c r="M81" s="77" t="s">
        <v>407</v>
      </c>
    </row>
    <row r="82" spans="1:13" ht="15" customHeight="1" x14ac:dyDescent="0.25">
      <c r="A82" s="75" t="s">
        <v>132</v>
      </c>
      <c r="B82" s="76">
        <v>46081</v>
      </c>
      <c r="C82" s="77"/>
      <c r="D82" s="77" t="s">
        <v>134</v>
      </c>
      <c r="E82" s="77"/>
      <c r="F82" s="77"/>
      <c r="G82" s="77"/>
      <c r="H82" s="78"/>
      <c r="I82" s="79">
        <v>4182.3900000000003</v>
      </c>
      <c r="J82" s="79"/>
      <c r="K82" s="79"/>
      <c r="L82" s="77"/>
      <c r="M82" s="77" t="s">
        <v>407</v>
      </c>
    </row>
    <row r="83" spans="1:13" ht="15" customHeight="1" x14ac:dyDescent="0.25">
      <c r="A83" s="75" t="s">
        <v>132</v>
      </c>
      <c r="B83" s="76">
        <v>46082</v>
      </c>
      <c r="C83" s="77"/>
      <c r="D83" s="77" t="s">
        <v>135</v>
      </c>
      <c r="E83" s="77"/>
      <c r="F83" s="77"/>
      <c r="G83" s="77"/>
      <c r="H83" s="78"/>
      <c r="I83" s="79">
        <v>2917.13</v>
      </c>
      <c r="J83" s="79"/>
      <c r="K83" s="79"/>
      <c r="L83" s="77"/>
      <c r="M83" s="77" t="s">
        <v>407</v>
      </c>
    </row>
    <row r="84" spans="1:13" ht="15" customHeight="1" x14ac:dyDescent="0.25">
      <c r="A84" s="75" t="s">
        <v>132</v>
      </c>
      <c r="B84" s="76">
        <v>46083</v>
      </c>
      <c r="C84" s="77"/>
      <c r="D84" s="77" t="s">
        <v>137</v>
      </c>
      <c r="E84" s="77"/>
      <c r="F84" s="77"/>
      <c r="G84" s="77"/>
      <c r="H84" s="78"/>
      <c r="I84" s="79">
        <v>26457.78</v>
      </c>
      <c r="J84" s="79"/>
      <c r="K84" s="79"/>
      <c r="L84" s="77"/>
      <c r="M84" s="77" t="s">
        <v>407</v>
      </c>
    </row>
    <row r="85" spans="1:13" ht="15" customHeight="1" x14ac:dyDescent="0.25">
      <c r="A85" s="75" t="s">
        <v>132</v>
      </c>
      <c r="B85" s="76">
        <v>46084</v>
      </c>
      <c r="C85" s="77"/>
      <c r="D85" s="77" t="s">
        <v>161</v>
      </c>
      <c r="E85" s="77"/>
      <c r="F85" s="77"/>
      <c r="G85" s="77"/>
      <c r="H85" s="78"/>
      <c r="I85" s="79">
        <v>1244.19</v>
      </c>
      <c r="J85" s="79"/>
      <c r="K85" s="79"/>
      <c r="L85" s="77"/>
      <c r="M85" s="77" t="s">
        <v>407</v>
      </c>
    </row>
    <row r="86" spans="1:13" ht="15" customHeight="1" x14ac:dyDescent="0.25">
      <c r="A86" s="75" t="s">
        <v>132</v>
      </c>
      <c r="B86" s="76">
        <v>46084</v>
      </c>
      <c r="C86" s="77"/>
      <c r="D86" s="77" t="s">
        <v>162</v>
      </c>
      <c r="E86" s="77"/>
      <c r="F86" s="77"/>
      <c r="G86" s="77"/>
      <c r="H86" s="78"/>
      <c r="I86" s="79">
        <v>4167.8599999999997</v>
      </c>
      <c r="J86" s="79"/>
      <c r="K86" s="79"/>
      <c r="L86" s="77"/>
      <c r="M86" s="77" t="s">
        <v>407</v>
      </c>
    </row>
    <row r="87" spans="1:13" ht="15" customHeight="1" x14ac:dyDescent="0.25">
      <c r="A87" s="75" t="s">
        <v>132</v>
      </c>
      <c r="B87" s="76">
        <v>46085</v>
      </c>
      <c r="C87" s="77"/>
      <c r="D87" s="77" t="s">
        <v>163</v>
      </c>
      <c r="E87" s="77"/>
      <c r="F87" s="77"/>
      <c r="G87" s="77"/>
      <c r="H87" s="78"/>
      <c r="I87" s="79">
        <v>2166.5</v>
      </c>
      <c r="J87" s="79"/>
      <c r="K87" s="79"/>
      <c r="L87" s="77"/>
      <c r="M87" s="77" t="s">
        <v>407</v>
      </c>
    </row>
    <row r="88" spans="1:13" ht="15" customHeight="1" x14ac:dyDescent="0.25">
      <c r="A88" s="75" t="s">
        <v>132</v>
      </c>
      <c r="B88" s="76">
        <v>46086</v>
      </c>
      <c r="C88" s="77"/>
      <c r="D88" s="77" t="s">
        <v>133</v>
      </c>
      <c r="E88" s="77"/>
      <c r="F88" s="77"/>
      <c r="G88" s="77"/>
      <c r="H88" s="78"/>
      <c r="I88" s="79">
        <v>338.45</v>
      </c>
      <c r="J88" s="79"/>
      <c r="K88" s="79"/>
      <c r="L88" s="77"/>
      <c r="M88" s="77" t="s">
        <v>407</v>
      </c>
    </row>
    <row r="89" spans="1:13" ht="15" customHeight="1" x14ac:dyDescent="0.25">
      <c r="A89" s="75" t="s">
        <v>132</v>
      </c>
      <c r="B89" s="76">
        <v>46087</v>
      </c>
      <c r="C89" s="77"/>
      <c r="D89" s="77" t="s">
        <v>164</v>
      </c>
      <c r="E89" s="77"/>
      <c r="F89" s="77"/>
      <c r="G89" s="77"/>
      <c r="H89" s="78"/>
      <c r="I89" s="79">
        <v>1911</v>
      </c>
      <c r="J89" s="79"/>
      <c r="K89" s="79"/>
      <c r="L89" s="77"/>
      <c r="M89" s="77" t="s">
        <v>407</v>
      </c>
    </row>
    <row r="90" spans="1:13" ht="15" customHeight="1" x14ac:dyDescent="0.25">
      <c r="A90" s="75" t="s">
        <v>132</v>
      </c>
      <c r="B90" s="76">
        <v>46087</v>
      </c>
      <c r="C90" s="77"/>
      <c r="D90" s="77" t="s">
        <v>165</v>
      </c>
      <c r="E90" s="77"/>
      <c r="F90" s="77"/>
      <c r="G90" s="77"/>
      <c r="H90" s="78"/>
      <c r="I90" s="79">
        <v>4001.23</v>
      </c>
      <c r="J90" s="79"/>
      <c r="K90" s="79"/>
      <c r="L90" s="77"/>
      <c r="M90" s="77" t="s">
        <v>407</v>
      </c>
    </row>
    <row r="91" spans="1:13" ht="15" customHeight="1" x14ac:dyDescent="0.25">
      <c r="A91" s="75" t="s">
        <v>132</v>
      </c>
      <c r="B91" s="76">
        <v>46088</v>
      </c>
      <c r="C91" s="77"/>
      <c r="D91" s="77" t="s">
        <v>166</v>
      </c>
      <c r="E91" s="77"/>
      <c r="F91" s="77"/>
      <c r="G91" s="77"/>
      <c r="H91" s="78"/>
      <c r="I91" s="79">
        <v>1935.19</v>
      </c>
      <c r="J91" s="79"/>
      <c r="K91" s="79"/>
      <c r="L91" s="77"/>
      <c r="M91" s="77" t="s">
        <v>407</v>
      </c>
    </row>
    <row r="92" spans="1:13" ht="15" customHeight="1" x14ac:dyDescent="0.25">
      <c r="A92" s="75" t="s">
        <v>132</v>
      </c>
      <c r="B92" s="76">
        <v>46090</v>
      </c>
      <c r="C92" s="77"/>
      <c r="D92" s="77" t="s">
        <v>137</v>
      </c>
      <c r="E92" s="77"/>
      <c r="F92" s="77"/>
      <c r="G92" s="77"/>
      <c r="H92" s="78"/>
      <c r="I92" s="79">
        <v>25997.09</v>
      </c>
      <c r="J92" s="79"/>
      <c r="K92" s="79"/>
      <c r="L92" s="77"/>
      <c r="M92" s="77" t="s">
        <v>407</v>
      </c>
    </row>
    <row r="93" spans="1:13" ht="15" customHeight="1" x14ac:dyDescent="0.25">
      <c r="A93" s="75" t="s">
        <v>132</v>
      </c>
      <c r="B93" s="76">
        <v>46023</v>
      </c>
      <c r="C93" s="77"/>
      <c r="D93" s="77" t="s">
        <v>167</v>
      </c>
      <c r="E93" s="77"/>
      <c r="F93" s="77"/>
      <c r="G93" s="77"/>
      <c r="H93" s="78"/>
      <c r="I93" s="79">
        <v>2803.61</v>
      </c>
      <c r="J93" s="79"/>
      <c r="K93" s="79"/>
      <c r="L93" s="77"/>
      <c r="M93" s="77" t="s">
        <v>407</v>
      </c>
    </row>
    <row r="94" spans="1:13" ht="15" customHeight="1" x14ac:dyDescent="0.25">
      <c r="A94" s="75" t="s">
        <v>132</v>
      </c>
      <c r="B94" s="76">
        <v>46024</v>
      </c>
      <c r="C94" s="77"/>
      <c r="D94" s="77" t="s">
        <v>167</v>
      </c>
      <c r="E94" s="77"/>
      <c r="F94" s="77"/>
      <c r="G94" s="77"/>
      <c r="H94" s="78"/>
      <c r="I94" s="79">
        <v>3654.4</v>
      </c>
      <c r="J94" s="79"/>
      <c r="K94" s="79"/>
      <c r="L94" s="77"/>
      <c r="M94" s="77" t="s">
        <v>407</v>
      </c>
    </row>
    <row r="95" spans="1:13" ht="15" customHeight="1" x14ac:dyDescent="0.25">
      <c r="A95" s="75" t="s">
        <v>132</v>
      </c>
      <c r="B95" s="76">
        <v>46024</v>
      </c>
      <c r="C95" s="77"/>
      <c r="D95" s="77" t="s">
        <v>167</v>
      </c>
      <c r="E95" s="77"/>
      <c r="F95" s="77"/>
      <c r="G95" s="77"/>
      <c r="H95" s="78"/>
      <c r="I95" s="79">
        <v>2552.37</v>
      </c>
      <c r="J95" s="79"/>
      <c r="K95" s="79"/>
      <c r="L95" s="77"/>
      <c r="M95" s="77" t="s">
        <v>407</v>
      </c>
    </row>
    <row r="96" spans="1:13" ht="15" customHeight="1" x14ac:dyDescent="0.25">
      <c r="A96" s="75" t="s">
        <v>132</v>
      </c>
      <c r="B96" s="76">
        <v>46025</v>
      </c>
      <c r="C96" s="77"/>
      <c r="D96" s="77" t="s">
        <v>167</v>
      </c>
      <c r="E96" s="77"/>
      <c r="F96" s="77"/>
      <c r="G96" s="77"/>
      <c r="H96" s="78"/>
      <c r="I96" s="79">
        <v>1381.71</v>
      </c>
      <c r="J96" s="79"/>
      <c r="K96" s="79"/>
      <c r="L96" s="77"/>
      <c r="M96" s="77" t="s">
        <v>407</v>
      </c>
    </row>
    <row r="97" spans="1:13" ht="15" customHeight="1" x14ac:dyDescent="0.25">
      <c r="A97" s="75" t="s">
        <v>132</v>
      </c>
      <c r="B97" s="76">
        <v>46025</v>
      </c>
      <c r="C97" s="77"/>
      <c r="D97" s="77" t="s">
        <v>167</v>
      </c>
      <c r="E97" s="77"/>
      <c r="F97" s="77"/>
      <c r="G97" s="77"/>
      <c r="H97" s="78"/>
      <c r="I97" s="79">
        <v>3066.58</v>
      </c>
      <c r="J97" s="79"/>
      <c r="K97" s="79"/>
      <c r="L97" s="77"/>
      <c r="M97" s="77" t="s">
        <v>407</v>
      </c>
    </row>
    <row r="98" spans="1:13" ht="15" customHeight="1" x14ac:dyDescent="0.25">
      <c r="A98" s="75" t="s">
        <v>132</v>
      </c>
      <c r="B98" s="76">
        <v>46026</v>
      </c>
      <c r="C98" s="77"/>
      <c r="D98" s="77" t="s">
        <v>167</v>
      </c>
      <c r="E98" s="77"/>
      <c r="F98" s="77"/>
      <c r="G98" s="77"/>
      <c r="H98" s="78"/>
      <c r="I98" s="79">
        <v>2075.48</v>
      </c>
      <c r="J98" s="79"/>
      <c r="K98" s="79"/>
      <c r="L98" s="77"/>
      <c r="M98" s="77" t="s">
        <v>407</v>
      </c>
    </row>
    <row r="99" spans="1:13" ht="15" customHeight="1" x14ac:dyDescent="0.25">
      <c r="A99" s="75" t="s">
        <v>132</v>
      </c>
      <c r="B99" s="76">
        <v>46026</v>
      </c>
      <c r="C99" s="77"/>
      <c r="D99" s="77" t="s">
        <v>167</v>
      </c>
      <c r="E99" s="77"/>
      <c r="F99" s="77"/>
      <c r="G99" s="77"/>
      <c r="H99" s="78"/>
      <c r="I99" s="79">
        <v>1953.05</v>
      </c>
      <c r="J99" s="79"/>
      <c r="K99" s="79"/>
      <c r="L99" s="77"/>
      <c r="M99" s="77" t="s">
        <v>407</v>
      </c>
    </row>
    <row r="100" spans="1:13" ht="15" customHeight="1" x14ac:dyDescent="0.25">
      <c r="A100" s="75" t="s">
        <v>132</v>
      </c>
      <c r="B100" s="76">
        <v>46027</v>
      </c>
      <c r="C100" s="77"/>
      <c r="D100" s="77" t="s">
        <v>167</v>
      </c>
      <c r="E100" s="77"/>
      <c r="F100" s="77"/>
      <c r="G100" s="77"/>
      <c r="H100" s="78"/>
      <c r="I100" s="79">
        <v>1544.95</v>
      </c>
      <c r="J100" s="79"/>
      <c r="K100" s="79"/>
      <c r="L100" s="77"/>
      <c r="M100" s="77" t="s">
        <v>407</v>
      </c>
    </row>
    <row r="101" spans="1:13" ht="15" customHeight="1" x14ac:dyDescent="0.25">
      <c r="A101" s="75" t="s">
        <v>132</v>
      </c>
      <c r="B101" s="76">
        <v>46027</v>
      </c>
      <c r="C101" s="77"/>
      <c r="D101" s="77" t="s">
        <v>167</v>
      </c>
      <c r="E101" s="77"/>
      <c r="F101" s="77"/>
      <c r="G101" s="77"/>
      <c r="H101" s="78"/>
      <c r="I101" s="79">
        <v>2180.42</v>
      </c>
      <c r="J101" s="79"/>
      <c r="K101" s="79"/>
      <c r="L101" s="77"/>
      <c r="M101" s="77" t="s">
        <v>407</v>
      </c>
    </row>
    <row r="102" spans="1:13" ht="15" customHeight="1" x14ac:dyDescent="0.25">
      <c r="A102" s="75" t="s">
        <v>132</v>
      </c>
      <c r="B102" s="76">
        <v>46028</v>
      </c>
      <c r="C102" s="77"/>
      <c r="D102" s="77" t="s">
        <v>167</v>
      </c>
      <c r="E102" s="77"/>
      <c r="F102" s="77"/>
      <c r="G102" s="77"/>
      <c r="H102" s="78"/>
      <c r="I102" s="79">
        <v>1626.57</v>
      </c>
      <c r="J102" s="79"/>
      <c r="K102" s="79"/>
      <c r="L102" s="77"/>
      <c r="M102" s="77" t="s">
        <v>407</v>
      </c>
    </row>
    <row r="103" spans="1:13" ht="15" customHeight="1" x14ac:dyDescent="0.25">
      <c r="A103" s="75" t="s">
        <v>132</v>
      </c>
      <c r="B103" s="76">
        <v>46028</v>
      </c>
      <c r="C103" s="77"/>
      <c r="D103" s="77" t="s">
        <v>167</v>
      </c>
      <c r="E103" s="77"/>
      <c r="F103" s="77"/>
      <c r="G103" s="77"/>
      <c r="H103" s="78"/>
      <c r="I103" s="79">
        <v>2320.34</v>
      </c>
      <c r="J103" s="79"/>
      <c r="K103" s="79"/>
      <c r="L103" s="77"/>
      <c r="M103" s="77" t="s">
        <v>407</v>
      </c>
    </row>
    <row r="104" spans="1:13" ht="15" customHeight="1" x14ac:dyDescent="0.25">
      <c r="A104" s="75" t="s">
        <v>132</v>
      </c>
      <c r="B104" s="76">
        <v>46029</v>
      </c>
      <c r="C104" s="77"/>
      <c r="D104" s="77" t="s">
        <v>167</v>
      </c>
      <c r="E104" s="77"/>
      <c r="F104" s="77"/>
      <c r="G104" s="77"/>
      <c r="H104" s="78"/>
      <c r="I104" s="79">
        <v>2547.71</v>
      </c>
      <c r="J104" s="79"/>
      <c r="K104" s="79"/>
      <c r="L104" s="77"/>
      <c r="M104" s="77" t="s">
        <v>407</v>
      </c>
    </row>
    <row r="105" spans="1:13" ht="15" customHeight="1" x14ac:dyDescent="0.25">
      <c r="A105" s="75" t="s">
        <v>132</v>
      </c>
      <c r="B105" s="76">
        <v>46029</v>
      </c>
      <c r="C105" s="77"/>
      <c r="D105" s="77" t="s">
        <v>167</v>
      </c>
      <c r="E105" s="77"/>
      <c r="F105" s="77"/>
      <c r="G105" s="77"/>
      <c r="H105" s="78"/>
      <c r="I105" s="79">
        <v>1142.68</v>
      </c>
      <c r="J105" s="79"/>
      <c r="K105" s="79"/>
      <c r="L105" s="77"/>
      <c r="M105" s="77" t="s">
        <v>407</v>
      </c>
    </row>
    <row r="106" spans="1:13" ht="15" customHeight="1" x14ac:dyDescent="0.25">
      <c r="A106" s="75" t="s">
        <v>132</v>
      </c>
      <c r="B106" s="76">
        <v>46030</v>
      </c>
      <c r="C106" s="77"/>
      <c r="D106" s="77" t="s">
        <v>167</v>
      </c>
      <c r="E106" s="77"/>
      <c r="F106" s="77"/>
      <c r="G106" s="77"/>
      <c r="H106" s="78"/>
      <c r="I106" s="79">
        <v>996.93</v>
      </c>
      <c r="J106" s="79"/>
      <c r="K106" s="79"/>
      <c r="L106" s="77"/>
      <c r="M106" s="77" t="s">
        <v>407</v>
      </c>
    </row>
    <row r="107" spans="1:13" ht="15" customHeight="1" x14ac:dyDescent="0.25">
      <c r="A107" s="75" t="s">
        <v>132</v>
      </c>
      <c r="B107" s="76">
        <v>46030</v>
      </c>
      <c r="C107" s="77"/>
      <c r="D107" s="77" t="s">
        <v>167</v>
      </c>
      <c r="E107" s="77"/>
      <c r="F107" s="77"/>
      <c r="G107" s="77"/>
      <c r="H107" s="78"/>
      <c r="I107" s="79">
        <v>2104.63</v>
      </c>
      <c r="J107" s="79"/>
      <c r="K107" s="79"/>
      <c r="L107" s="77"/>
      <c r="M107" s="77" t="s">
        <v>407</v>
      </c>
    </row>
    <row r="108" spans="1:13" ht="15" customHeight="1" x14ac:dyDescent="0.25">
      <c r="A108" s="75" t="s">
        <v>132</v>
      </c>
      <c r="B108" s="76">
        <v>46031</v>
      </c>
      <c r="C108" s="77"/>
      <c r="D108" s="77" t="s">
        <v>167</v>
      </c>
      <c r="E108" s="77"/>
      <c r="F108" s="77"/>
      <c r="G108" s="77"/>
      <c r="H108" s="78"/>
      <c r="I108" s="79">
        <v>1043.57</v>
      </c>
      <c r="J108" s="79"/>
      <c r="K108" s="79"/>
      <c r="L108" s="77"/>
      <c r="M108" s="77" t="s">
        <v>407</v>
      </c>
    </row>
    <row r="109" spans="1:13" ht="15" customHeight="1" x14ac:dyDescent="0.25">
      <c r="A109" s="75" t="s">
        <v>132</v>
      </c>
      <c r="B109" s="76">
        <v>46031</v>
      </c>
      <c r="C109" s="77"/>
      <c r="D109" s="77" t="s">
        <v>167</v>
      </c>
      <c r="E109" s="77"/>
      <c r="F109" s="77"/>
      <c r="G109" s="77"/>
      <c r="H109" s="78"/>
      <c r="I109" s="79">
        <v>1836.45</v>
      </c>
      <c r="J109" s="79"/>
      <c r="K109" s="79"/>
      <c r="L109" s="77"/>
      <c r="M109" s="77" t="s">
        <v>407</v>
      </c>
    </row>
    <row r="110" spans="1:13" ht="15" customHeight="1" x14ac:dyDescent="0.25">
      <c r="A110" s="75" t="s">
        <v>132</v>
      </c>
      <c r="B110" s="76">
        <v>46032</v>
      </c>
      <c r="C110" s="77"/>
      <c r="D110" s="77" t="s">
        <v>167</v>
      </c>
      <c r="E110" s="77"/>
      <c r="F110" s="77"/>
      <c r="G110" s="77"/>
      <c r="H110" s="78"/>
      <c r="I110" s="79">
        <v>1958.88</v>
      </c>
      <c r="J110" s="79"/>
      <c r="K110" s="79"/>
      <c r="L110" s="77"/>
      <c r="M110" s="77" t="s">
        <v>407</v>
      </c>
    </row>
    <row r="111" spans="1:13" ht="15" customHeight="1" x14ac:dyDescent="0.25">
      <c r="A111" s="75" t="s">
        <v>132</v>
      </c>
      <c r="B111" s="76">
        <v>46032</v>
      </c>
      <c r="C111" s="77"/>
      <c r="D111" s="77" t="s">
        <v>167</v>
      </c>
      <c r="E111" s="77"/>
      <c r="F111" s="77"/>
      <c r="G111" s="77"/>
      <c r="H111" s="78"/>
      <c r="I111" s="79">
        <v>4232.58</v>
      </c>
      <c r="J111" s="79"/>
      <c r="K111" s="79"/>
      <c r="L111" s="77"/>
      <c r="M111" s="77" t="s">
        <v>407</v>
      </c>
    </row>
    <row r="112" spans="1:13" ht="15" customHeight="1" x14ac:dyDescent="0.25">
      <c r="A112" s="75" t="s">
        <v>132</v>
      </c>
      <c r="B112" s="76">
        <v>46033</v>
      </c>
      <c r="C112" s="77"/>
      <c r="D112" s="77" t="s">
        <v>167</v>
      </c>
      <c r="E112" s="77"/>
      <c r="F112" s="77"/>
      <c r="G112" s="77"/>
      <c r="H112" s="78"/>
      <c r="I112" s="79">
        <v>1702.36</v>
      </c>
      <c r="J112" s="79"/>
      <c r="K112" s="79"/>
      <c r="L112" s="77"/>
      <c r="M112" s="77" t="s">
        <v>407</v>
      </c>
    </row>
    <row r="113" spans="1:13" ht="15" customHeight="1" x14ac:dyDescent="0.25">
      <c r="A113" s="75" t="s">
        <v>132</v>
      </c>
      <c r="B113" s="76">
        <v>46033</v>
      </c>
      <c r="C113" s="77"/>
      <c r="D113" s="77" t="s">
        <v>167</v>
      </c>
      <c r="E113" s="77"/>
      <c r="F113" s="77"/>
      <c r="G113" s="77"/>
      <c r="H113" s="78"/>
      <c r="I113" s="79">
        <v>1813.13</v>
      </c>
      <c r="J113" s="79"/>
      <c r="K113" s="79"/>
      <c r="L113" s="77"/>
      <c r="M113" s="77" t="s">
        <v>407</v>
      </c>
    </row>
    <row r="114" spans="1:13" ht="15" customHeight="1" x14ac:dyDescent="0.25">
      <c r="A114" s="75" t="s">
        <v>132</v>
      </c>
      <c r="B114" s="76">
        <v>46034</v>
      </c>
      <c r="C114" s="77"/>
      <c r="D114" s="77" t="s">
        <v>167</v>
      </c>
      <c r="E114" s="77"/>
      <c r="F114" s="77"/>
      <c r="G114" s="77"/>
      <c r="H114" s="78"/>
      <c r="I114" s="79">
        <v>1958.88</v>
      </c>
      <c r="J114" s="79"/>
      <c r="K114" s="79"/>
      <c r="L114" s="77"/>
      <c r="M114" s="77" t="s">
        <v>407</v>
      </c>
    </row>
    <row r="115" spans="1:13" ht="15" customHeight="1" x14ac:dyDescent="0.25">
      <c r="A115" s="75" t="s">
        <v>132</v>
      </c>
      <c r="B115" s="76">
        <v>46034</v>
      </c>
      <c r="C115" s="77"/>
      <c r="D115" s="77" t="s">
        <v>167</v>
      </c>
      <c r="E115" s="77"/>
      <c r="F115" s="77"/>
      <c r="G115" s="77"/>
      <c r="H115" s="78"/>
      <c r="I115" s="79">
        <v>1993.86</v>
      </c>
      <c r="J115" s="79"/>
      <c r="K115" s="79"/>
      <c r="L115" s="77"/>
      <c r="M115" s="77" t="s">
        <v>407</v>
      </c>
    </row>
    <row r="116" spans="1:13" ht="15" customHeight="1" x14ac:dyDescent="0.25">
      <c r="A116" s="75" t="s">
        <v>132</v>
      </c>
      <c r="B116" s="76">
        <v>46035</v>
      </c>
      <c r="C116" s="77"/>
      <c r="D116" s="77" t="s">
        <v>167</v>
      </c>
      <c r="E116" s="77"/>
      <c r="F116" s="77"/>
      <c r="G116" s="77"/>
      <c r="H116" s="78"/>
      <c r="I116" s="79">
        <v>2524.39</v>
      </c>
      <c r="J116" s="79"/>
      <c r="K116" s="79"/>
      <c r="L116" s="77"/>
      <c r="M116" s="77" t="s">
        <v>407</v>
      </c>
    </row>
    <row r="117" spans="1:13" ht="15" customHeight="1" x14ac:dyDescent="0.25">
      <c r="A117" s="75" t="s">
        <v>132</v>
      </c>
      <c r="B117" s="76">
        <v>46035</v>
      </c>
      <c r="C117" s="77"/>
      <c r="D117" s="77" t="s">
        <v>167</v>
      </c>
      <c r="E117" s="77"/>
      <c r="F117" s="77"/>
      <c r="G117" s="77"/>
      <c r="H117" s="78"/>
      <c r="I117" s="79">
        <v>1230.1300000000001</v>
      </c>
      <c r="J117" s="79"/>
      <c r="K117" s="79"/>
      <c r="L117" s="77"/>
      <c r="M117" s="77" t="s">
        <v>407</v>
      </c>
    </row>
    <row r="118" spans="1:13" ht="15" customHeight="1" x14ac:dyDescent="0.25">
      <c r="A118" s="75" t="s">
        <v>132</v>
      </c>
      <c r="B118" s="76">
        <v>46036</v>
      </c>
      <c r="C118" s="77"/>
      <c r="D118" s="77" t="s">
        <v>167</v>
      </c>
      <c r="E118" s="77"/>
      <c r="F118" s="77"/>
      <c r="G118" s="77"/>
      <c r="H118" s="78"/>
      <c r="I118" s="79">
        <v>1492.48</v>
      </c>
      <c r="J118" s="79"/>
      <c r="K118" s="79"/>
      <c r="L118" s="77"/>
      <c r="M118" s="77" t="s">
        <v>407</v>
      </c>
    </row>
    <row r="119" spans="1:13" ht="15" customHeight="1" x14ac:dyDescent="0.25">
      <c r="A119" s="75" t="s">
        <v>132</v>
      </c>
      <c r="B119" s="76">
        <v>46036</v>
      </c>
      <c r="C119" s="77"/>
      <c r="D119" s="77" t="s">
        <v>167</v>
      </c>
      <c r="E119" s="77"/>
      <c r="F119" s="77"/>
      <c r="G119" s="77"/>
      <c r="H119" s="78"/>
      <c r="I119" s="79">
        <v>1778.15</v>
      </c>
      <c r="J119" s="79"/>
      <c r="K119" s="79"/>
      <c r="L119" s="77"/>
      <c r="M119" s="77" t="s">
        <v>407</v>
      </c>
    </row>
    <row r="120" spans="1:13" ht="15" customHeight="1" x14ac:dyDescent="0.25">
      <c r="A120" s="75" t="s">
        <v>132</v>
      </c>
      <c r="B120" s="76">
        <v>46037</v>
      </c>
      <c r="C120" s="77"/>
      <c r="D120" s="77" t="s">
        <v>167</v>
      </c>
      <c r="E120" s="77"/>
      <c r="F120" s="77"/>
      <c r="G120" s="77"/>
      <c r="H120" s="78"/>
      <c r="I120" s="79">
        <v>1055.23</v>
      </c>
      <c r="J120" s="79"/>
      <c r="K120" s="79"/>
      <c r="L120" s="77"/>
      <c r="M120" s="77" t="s">
        <v>407</v>
      </c>
    </row>
    <row r="121" spans="1:13" ht="15" customHeight="1" x14ac:dyDescent="0.25">
      <c r="A121" s="75" t="s">
        <v>132</v>
      </c>
      <c r="B121" s="76">
        <v>46037</v>
      </c>
      <c r="C121" s="77"/>
      <c r="D121" s="77" t="s">
        <v>167</v>
      </c>
      <c r="E121" s="77"/>
      <c r="F121" s="77"/>
      <c r="G121" s="77"/>
      <c r="H121" s="78"/>
      <c r="I121" s="79">
        <v>1667.38</v>
      </c>
      <c r="J121" s="79"/>
      <c r="K121" s="79"/>
      <c r="L121" s="77"/>
      <c r="M121" s="77" t="s">
        <v>407</v>
      </c>
    </row>
    <row r="122" spans="1:13" ht="15" customHeight="1" x14ac:dyDescent="0.25">
      <c r="A122" s="75" t="s">
        <v>132</v>
      </c>
      <c r="B122" s="76">
        <v>46038</v>
      </c>
      <c r="C122" s="77"/>
      <c r="D122" s="77" t="s">
        <v>167</v>
      </c>
      <c r="E122" s="77"/>
      <c r="F122" s="77"/>
      <c r="G122" s="77"/>
      <c r="H122" s="78"/>
      <c r="I122" s="79">
        <v>973.61</v>
      </c>
      <c r="J122" s="79"/>
      <c r="K122" s="79"/>
      <c r="L122" s="77"/>
      <c r="M122" s="77" t="s">
        <v>407</v>
      </c>
    </row>
    <row r="123" spans="1:13" ht="15" customHeight="1" x14ac:dyDescent="0.25">
      <c r="A123" s="75" t="s">
        <v>132</v>
      </c>
      <c r="B123" s="76">
        <v>46038</v>
      </c>
      <c r="C123" s="77"/>
      <c r="D123" s="77" t="s">
        <v>167</v>
      </c>
      <c r="E123" s="77"/>
      <c r="F123" s="77"/>
      <c r="G123" s="77"/>
      <c r="H123" s="78"/>
      <c r="I123" s="79">
        <v>1515.8</v>
      </c>
      <c r="J123" s="79"/>
      <c r="K123" s="79"/>
      <c r="L123" s="77"/>
      <c r="M123" s="77" t="s">
        <v>407</v>
      </c>
    </row>
    <row r="124" spans="1:13" ht="15" customHeight="1" x14ac:dyDescent="0.25">
      <c r="A124" s="75" t="s">
        <v>132</v>
      </c>
      <c r="B124" s="76">
        <v>46039</v>
      </c>
      <c r="C124" s="77"/>
      <c r="D124" s="77" t="s">
        <v>167</v>
      </c>
      <c r="E124" s="77"/>
      <c r="F124" s="77"/>
      <c r="G124" s="77"/>
      <c r="H124" s="78"/>
      <c r="I124" s="79">
        <v>1370.05</v>
      </c>
      <c r="J124" s="79"/>
      <c r="K124" s="79"/>
      <c r="L124" s="77"/>
      <c r="M124" s="77" t="s">
        <v>407</v>
      </c>
    </row>
    <row r="125" spans="1:13" ht="15" customHeight="1" x14ac:dyDescent="0.25">
      <c r="A125" s="75" t="s">
        <v>132</v>
      </c>
      <c r="B125" s="76">
        <v>46039</v>
      </c>
      <c r="C125" s="77"/>
      <c r="D125" s="77" t="s">
        <v>167</v>
      </c>
      <c r="E125" s="77"/>
      <c r="F125" s="77"/>
      <c r="G125" s="77"/>
      <c r="H125" s="78"/>
      <c r="I125" s="79">
        <v>1166</v>
      </c>
      <c r="J125" s="79"/>
      <c r="K125" s="79"/>
      <c r="L125" s="77"/>
      <c r="M125" s="77" t="s">
        <v>407</v>
      </c>
    </row>
    <row r="126" spans="1:13" ht="15" customHeight="1" x14ac:dyDescent="0.25">
      <c r="A126" s="75" t="s">
        <v>132</v>
      </c>
      <c r="B126" s="76">
        <v>46040</v>
      </c>
      <c r="C126" s="77"/>
      <c r="D126" s="77" t="s">
        <v>167</v>
      </c>
      <c r="E126" s="77"/>
      <c r="F126" s="77"/>
      <c r="G126" s="77"/>
      <c r="H126" s="78"/>
      <c r="I126" s="79">
        <v>2903.34</v>
      </c>
      <c r="J126" s="79"/>
      <c r="K126" s="79"/>
      <c r="L126" s="77"/>
      <c r="M126" s="77" t="s">
        <v>407</v>
      </c>
    </row>
    <row r="127" spans="1:13" ht="15" customHeight="1" x14ac:dyDescent="0.25">
      <c r="A127" s="75" t="s">
        <v>132</v>
      </c>
      <c r="B127" s="76">
        <v>46041</v>
      </c>
      <c r="C127" s="77"/>
      <c r="D127" s="77" t="s">
        <v>167</v>
      </c>
      <c r="E127" s="77"/>
      <c r="F127" s="77"/>
      <c r="G127" s="77"/>
      <c r="H127" s="78"/>
      <c r="I127" s="79">
        <v>2915</v>
      </c>
      <c r="J127" s="79"/>
      <c r="K127" s="79"/>
      <c r="L127" s="77"/>
      <c r="M127" s="77" t="s">
        <v>407</v>
      </c>
    </row>
    <row r="128" spans="1:13" ht="15" customHeight="1" x14ac:dyDescent="0.25">
      <c r="A128" s="75" t="s">
        <v>132</v>
      </c>
      <c r="B128" s="76">
        <v>46042</v>
      </c>
      <c r="C128" s="77"/>
      <c r="D128" s="77" t="s">
        <v>167</v>
      </c>
      <c r="E128" s="77"/>
      <c r="F128" s="77"/>
      <c r="G128" s="77"/>
      <c r="H128" s="78"/>
      <c r="I128" s="79">
        <v>3183.18</v>
      </c>
      <c r="J128" s="79"/>
      <c r="K128" s="79"/>
      <c r="L128" s="77"/>
      <c r="M128" s="77" t="s">
        <v>407</v>
      </c>
    </row>
    <row r="129" spans="1:13" ht="15" customHeight="1" x14ac:dyDescent="0.25">
      <c r="A129" s="75" t="s">
        <v>132</v>
      </c>
      <c r="B129" s="76">
        <v>46043</v>
      </c>
      <c r="C129" s="77"/>
      <c r="D129" s="77" t="s">
        <v>167</v>
      </c>
      <c r="E129" s="77"/>
      <c r="F129" s="77"/>
      <c r="G129" s="77"/>
      <c r="H129" s="78"/>
      <c r="I129" s="79">
        <v>3235.65</v>
      </c>
      <c r="J129" s="79"/>
      <c r="K129" s="79"/>
      <c r="L129" s="77"/>
      <c r="M129" s="77" t="s">
        <v>407</v>
      </c>
    </row>
    <row r="130" spans="1:13" ht="15" customHeight="1" x14ac:dyDescent="0.25">
      <c r="A130" s="75" t="s">
        <v>132</v>
      </c>
      <c r="B130" s="76">
        <v>46044</v>
      </c>
      <c r="C130" s="77"/>
      <c r="D130" s="77" t="s">
        <v>167</v>
      </c>
      <c r="E130" s="77"/>
      <c r="F130" s="77"/>
      <c r="G130" s="77"/>
      <c r="H130" s="78"/>
      <c r="I130" s="79">
        <v>3212.33</v>
      </c>
      <c r="J130" s="79"/>
      <c r="K130" s="79"/>
      <c r="L130" s="77"/>
      <c r="M130" s="77" t="s">
        <v>407</v>
      </c>
    </row>
    <row r="131" spans="1:13" ht="15" customHeight="1" x14ac:dyDescent="0.25">
      <c r="A131" s="75" t="s">
        <v>132</v>
      </c>
      <c r="B131" s="76">
        <v>46045</v>
      </c>
      <c r="C131" s="77"/>
      <c r="D131" s="77" t="s">
        <v>167</v>
      </c>
      <c r="E131" s="77"/>
      <c r="F131" s="77"/>
      <c r="G131" s="77"/>
      <c r="H131" s="78"/>
      <c r="I131" s="79">
        <v>2220.94</v>
      </c>
      <c r="J131" s="79"/>
      <c r="K131" s="79"/>
      <c r="L131" s="77"/>
      <c r="M131" s="77" t="s">
        <v>407</v>
      </c>
    </row>
    <row r="132" spans="1:13" ht="15" customHeight="1" x14ac:dyDescent="0.25">
      <c r="A132" s="75" t="s">
        <v>132</v>
      </c>
      <c r="B132" s="76">
        <v>46045</v>
      </c>
      <c r="C132" s="77"/>
      <c r="D132" s="77" t="s">
        <v>167</v>
      </c>
      <c r="E132" s="77"/>
      <c r="F132" s="77"/>
      <c r="G132" s="77"/>
      <c r="H132" s="78"/>
      <c r="I132" s="79">
        <v>1857.62</v>
      </c>
      <c r="J132" s="79"/>
      <c r="K132" s="79"/>
      <c r="L132" s="77"/>
      <c r="M132" s="77" t="s">
        <v>407</v>
      </c>
    </row>
    <row r="133" spans="1:13" ht="15" customHeight="1" x14ac:dyDescent="0.25">
      <c r="A133" s="75" t="s">
        <v>132</v>
      </c>
      <c r="B133" s="76">
        <v>46046</v>
      </c>
      <c r="C133" s="77"/>
      <c r="D133" s="77" t="s">
        <v>167</v>
      </c>
      <c r="E133" s="77"/>
      <c r="F133" s="77"/>
      <c r="G133" s="77"/>
      <c r="H133" s="78"/>
      <c r="I133" s="79">
        <v>2930</v>
      </c>
      <c r="J133" s="79"/>
      <c r="K133" s="79"/>
      <c r="L133" s="77"/>
      <c r="M133" s="77" t="s">
        <v>407</v>
      </c>
    </row>
    <row r="134" spans="1:13" ht="15" customHeight="1" x14ac:dyDescent="0.25">
      <c r="A134" s="75" t="s">
        <v>132</v>
      </c>
      <c r="B134" s="76">
        <v>46046</v>
      </c>
      <c r="C134" s="77"/>
      <c r="D134" s="77" t="s">
        <v>167</v>
      </c>
      <c r="E134" s="77"/>
      <c r="F134" s="77"/>
      <c r="G134" s="77"/>
      <c r="H134" s="78"/>
      <c r="I134" s="79">
        <v>2531.52</v>
      </c>
      <c r="J134" s="79"/>
      <c r="K134" s="79"/>
      <c r="L134" s="77"/>
      <c r="M134" s="77" t="s">
        <v>407</v>
      </c>
    </row>
    <row r="135" spans="1:13" ht="15" customHeight="1" x14ac:dyDescent="0.25">
      <c r="A135" s="75" t="s">
        <v>132</v>
      </c>
      <c r="B135" s="76">
        <v>46047</v>
      </c>
      <c r="C135" s="77"/>
      <c r="D135" s="77" t="s">
        <v>167</v>
      </c>
      <c r="E135" s="77"/>
      <c r="F135" s="77"/>
      <c r="G135" s="77"/>
      <c r="H135" s="78"/>
      <c r="I135" s="79">
        <v>2390.88</v>
      </c>
      <c r="J135" s="79"/>
      <c r="K135" s="79"/>
      <c r="L135" s="77"/>
      <c r="M135" s="77" t="s">
        <v>407</v>
      </c>
    </row>
    <row r="136" spans="1:13" ht="15" customHeight="1" x14ac:dyDescent="0.25">
      <c r="A136" s="75" t="s">
        <v>132</v>
      </c>
      <c r="B136" s="76">
        <v>46048</v>
      </c>
      <c r="C136" s="77"/>
      <c r="D136" s="77" t="s">
        <v>167</v>
      </c>
      <c r="E136" s="77"/>
      <c r="F136" s="77"/>
      <c r="G136" s="77"/>
      <c r="H136" s="78"/>
      <c r="I136" s="79">
        <v>2842.1</v>
      </c>
      <c r="J136" s="79"/>
      <c r="K136" s="79"/>
      <c r="L136" s="77"/>
      <c r="M136" s="77" t="s">
        <v>407</v>
      </c>
    </row>
    <row r="137" spans="1:13" ht="15" customHeight="1" x14ac:dyDescent="0.25">
      <c r="A137" s="75" t="s">
        <v>132</v>
      </c>
      <c r="B137" s="76">
        <v>46048</v>
      </c>
      <c r="C137" s="77"/>
      <c r="D137" s="77" t="s">
        <v>167</v>
      </c>
      <c r="E137" s="77"/>
      <c r="F137" s="77"/>
      <c r="G137" s="77"/>
      <c r="H137" s="78"/>
      <c r="I137" s="79">
        <v>3551.16</v>
      </c>
      <c r="J137" s="79"/>
      <c r="K137" s="79"/>
      <c r="L137" s="77"/>
      <c r="M137" s="77" t="s">
        <v>407</v>
      </c>
    </row>
    <row r="138" spans="1:13" ht="15" customHeight="1" x14ac:dyDescent="0.25">
      <c r="A138" s="75" t="s">
        <v>132</v>
      </c>
      <c r="B138" s="76">
        <v>46049</v>
      </c>
      <c r="C138" s="77"/>
      <c r="D138" s="77" t="s">
        <v>167</v>
      </c>
      <c r="E138" s="77"/>
      <c r="F138" s="77"/>
      <c r="G138" s="77"/>
      <c r="H138" s="78"/>
      <c r="I138" s="79">
        <v>3398.8</v>
      </c>
      <c r="J138" s="79"/>
      <c r="K138" s="79"/>
      <c r="L138" s="77"/>
      <c r="M138" s="77" t="s">
        <v>407</v>
      </c>
    </row>
    <row r="139" spans="1:13" ht="15" customHeight="1" x14ac:dyDescent="0.25">
      <c r="A139" s="75" t="s">
        <v>132</v>
      </c>
      <c r="B139" s="76">
        <v>46049</v>
      </c>
      <c r="C139" s="77"/>
      <c r="D139" s="77" t="s">
        <v>167</v>
      </c>
      <c r="E139" s="77"/>
      <c r="F139" s="77"/>
      <c r="G139" s="77"/>
      <c r="H139" s="78"/>
      <c r="I139" s="79">
        <v>2414.3200000000002</v>
      </c>
      <c r="J139" s="79"/>
      <c r="K139" s="79"/>
      <c r="L139" s="77"/>
      <c r="M139" s="77" t="s">
        <v>407</v>
      </c>
    </row>
    <row r="140" spans="1:13" ht="15" customHeight="1" x14ac:dyDescent="0.25">
      <c r="A140" s="75" t="s">
        <v>132</v>
      </c>
      <c r="B140" s="76">
        <v>46050</v>
      </c>
      <c r="C140" s="77"/>
      <c r="D140" s="77" t="s">
        <v>167</v>
      </c>
      <c r="E140" s="77"/>
      <c r="F140" s="77"/>
      <c r="G140" s="77"/>
      <c r="H140" s="78"/>
      <c r="I140" s="79">
        <v>2387.2800000000002</v>
      </c>
      <c r="J140" s="79"/>
      <c r="K140" s="79"/>
      <c r="L140" s="77"/>
      <c r="M140" s="77" t="s">
        <v>407</v>
      </c>
    </row>
    <row r="141" spans="1:13" ht="15" customHeight="1" x14ac:dyDescent="0.25">
      <c r="A141" s="75" t="s">
        <v>132</v>
      </c>
      <c r="B141" s="76">
        <v>46050</v>
      </c>
      <c r="C141" s="77"/>
      <c r="D141" s="77" t="s">
        <v>167</v>
      </c>
      <c r="E141" s="77"/>
      <c r="F141" s="77"/>
      <c r="G141" s="77"/>
      <c r="H141" s="78"/>
      <c r="I141" s="79">
        <v>2816.52</v>
      </c>
      <c r="J141" s="79"/>
      <c r="K141" s="79"/>
      <c r="L141" s="77"/>
      <c r="M141" s="77" t="s">
        <v>407</v>
      </c>
    </row>
    <row r="142" spans="1:13" ht="15" customHeight="1" x14ac:dyDescent="0.25">
      <c r="A142" s="75" t="s">
        <v>132</v>
      </c>
      <c r="B142" s="76">
        <v>46051</v>
      </c>
      <c r="C142" s="77"/>
      <c r="D142" s="77" t="s">
        <v>167</v>
      </c>
      <c r="E142" s="77"/>
      <c r="F142" s="77"/>
      <c r="G142" s="77"/>
      <c r="H142" s="78"/>
      <c r="I142" s="79">
        <v>1991.67</v>
      </c>
      <c r="J142" s="79"/>
      <c r="K142" s="79"/>
      <c r="L142" s="77"/>
      <c r="M142" s="77" t="s">
        <v>407</v>
      </c>
    </row>
    <row r="143" spans="1:13" ht="15" customHeight="1" x14ac:dyDescent="0.25">
      <c r="A143" s="75" t="s">
        <v>132</v>
      </c>
      <c r="B143" s="76">
        <v>46051</v>
      </c>
      <c r="C143" s="77"/>
      <c r="D143" s="77" t="s">
        <v>167</v>
      </c>
      <c r="E143" s="77"/>
      <c r="F143" s="77"/>
      <c r="G143" s="77"/>
      <c r="H143" s="78"/>
      <c r="I143" s="79">
        <v>2109.87</v>
      </c>
      <c r="J143" s="79"/>
      <c r="K143" s="79"/>
      <c r="L143" s="77"/>
      <c r="M143" s="77" t="s">
        <v>407</v>
      </c>
    </row>
    <row r="144" spans="1:13" ht="15" customHeight="1" x14ac:dyDescent="0.25">
      <c r="A144" s="75" t="s">
        <v>132</v>
      </c>
      <c r="B144" s="76">
        <v>46052</v>
      </c>
      <c r="C144" s="77"/>
      <c r="D144" s="77" t="s">
        <v>167</v>
      </c>
      <c r="E144" s="77"/>
      <c r="F144" s="77"/>
      <c r="G144" s="77"/>
      <c r="H144" s="78"/>
      <c r="I144" s="79">
        <v>1731.63</v>
      </c>
      <c r="J144" s="79"/>
      <c r="K144" s="79"/>
      <c r="L144" s="77"/>
      <c r="M144" s="77" t="s">
        <v>407</v>
      </c>
    </row>
    <row r="145" spans="1:13" ht="15" customHeight="1" x14ac:dyDescent="0.25">
      <c r="A145" s="75" t="s">
        <v>132</v>
      </c>
      <c r="B145" s="76">
        <v>46053</v>
      </c>
      <c r="C145" s="77"/>
      <c r="D145" s="77" t="s">
        <v>167</v>
      </c>
      <c r="E145" s="77"/>
      <c r="F145" s="77"/>
      <c r="G145" s="77"/>
      <c r="H145" s="78"/>
      <c r="I145" s="79">
        <v>3577.98</v>
      </c>
      <c r="J145" s="79"/>
      <c r="K145" s="79"/>
      <c r="L145" s="77"/>
      <c r="M145" s="77" t="s">
        <v>407</v>
      </c>
    </row>
    <row r="146" spans="1:13" ht="15" customHeight="1" x14ac:dyDescent="0.25">
      <c r="A146" s="75" t="s">
        <v>132</v>
      </c>
      <c r="B146" s="76">
        <v>46053</v>
      </c>
      <c r="C146" s="77"/>
      <c r="D146" s="77" t="s">
        <v>167</v>
      </c>
      <c r="E146" s="77"/>
      <c r="F146" s="77"/>
      <c r="G146" s="77"/>
      <c r="H146" s="78"/>
      <c r="I146" s="79">
        <v>2348.6</v>
      </c>
      <c r="J146" s="79"/>
      <c r="K146" s="79"/>
      <c r="L146" s="77"/>
      <c r="M146" s="77" t="s">
        <v>407</v>
      </c>
    </row>
    <row r="147" spans="1:13" ht="15" customHeight="1" x14ac:dyDescent="0.25">
      <c r="A147" s="75" t="s">
        <v>132</v>
      </c>
      <c r="B147" s="76">
        <v>46054</v>
      </c>
      <c r="C147" s="77"/>
      <c r="D147" s="77" t="s">
        <v>167</v>
      </c>
      <c r="E147" s="77"/>
      <c r="F147" s="77"/>
      <c r="G147" s="77"/>
      <c r="H147" s="78"/>
      <c r="I147" s="79">
        <v>2325.4</v>
      </c>
      <c r="J147" s="79"/>
      <c r="K147" s="79"/>
      <c r="L147" s="77"/>
      <c r="M147" s="77" t="s">
        <v>407</v>
      </c>
    </row>
    <row r="148" spans="1:13" ht="15" customHeight="1" x14ac:dyDescent="0.25">
      <c r="A148" s="75" t="s">
        <v>132</v>
      </c>
      <c r="B148" s="76">
        <v>46054</v>
      </c>
      <c r="C148" s="77"/>
      <c r="D148" s="77" t="s">
        <v>167</v>
      </c>
      <c r="E148" s="77"/>
      <c r="F148" s="77"/>
      <c r="G148" s="77"/>
      <c r="H148" s="78"/>
      <c r="I148" s="79">
        <v>2893.7</v>
      </c>
      <c r="J148" s="79"/>
      <c r="K148" s="79"/>
      <c r="L148" s="77"/>
      <c r="M148" s="77" t="s">
        <v>407</v>
      </c>
    </row>
    <row r="149" spans="1:13" ht="15" customHeight="1" x14ac:dyDescent="0.25">
      <c r="A149" s="75" t="s">
        <v>132</v>
      </c>
      <c r="B149" s="76">
        <v>46055</v>
      </c>
      <c r="C149" s="77"/>
      <c r="D149" s="77" t="s">
        <v>167</v>
      </c>
      <c r="E149" s="77"/>
      <c r="F149" s="77"/>
      <c r="G149" s="77"/>
      <c r="H149" s="78"/>
      <c r="I149" s="79">
        <v>2818.31</v>
      </c>
      <c r="J149" s="79"/>
      <c r="K149" s="79"/>
      <c r="L149" s="77"/>
      <c r="M149" s="77" t="s">
        <v>407</v>
      </c>
    </row>
    <row r="150" spans="1:13" ht="15" customHeight="1" x14ac:dyDescent="0.25">
      <c r="A150" s="75" t="s">
        <v>132</v>
      </c>
      <c r="B150" s="76">
        <v>46055</v>
      </c>
      <c r="C150" s="77"/>
      <c r="D150" s="77" t="s">
        <v>167</v>
      </c>
      <c r="E150" s="77"/>
      <c r="F150" s="77"/>
      <c r="G150" s="77"/>
      <c r="H150" s="78"/>
      <c r="I150" s="79">
        <v>2615.35</v>
      </c>
      <c r="J150" s="79"/>
      <c r="K150" s="79"/>
      <c r="L150" s="77"/>
      <c r="M150" s="77" t="s">
        <v>407</v>
      </c>
    </row>
    <row r="151" spans="1:13" ht="15" customHeight="1" x14ac:dyDescent="0.25">
      <c r="A151" s="75" t="s">
        <v>132</v>
      </c>
      <c r="B151" s="76">
        <v>46056</v>
      </c>
      <c r="C151" s="77"/>
      <c r="D151" s="77" t="s">
        <v>167</v>
      </c>
      <c r="E151" s="77"/>
      <c r="F151" s="77"/>
      <c r="G151" s="77"/>
      <c r="H151" s="78"/>
      <c r="I151" s="79">
        <v>5538.05</v>
      </c>
      <c r="J151" s="79"/>
      <c r="K151" s="79"/>
      <c r="L151" s="77"/>
      <c r="M151" s="77" t="s">
        <v>407</v>
      </c>
    </row>
    <row r="152" spans="1:13" ht="15" customHeight="1" x14ac:dyDescent="0.25">
      <c r="A152" s="75" t="s">
        <v>132</v>
      </c>
      <c r="B152" s="76">
        <v>46056</v>
      </c>
      <c r="C152" s="77"/>
      <c r="D152" s="77" t="s">
        <v>167</v>
      </c>
      <c r="E152" s="77"/>
      <c r="F152" s="77"/>
      <c r="G152" s="77"/>
      <c r="H152" s="78"/>
      <c r="I152" s="79">
        <v>1739.7</v>
      </c>
      <c r="J152" s="79"/>
      <c r="K152" s="79"/>
      <c r="L152" s="77"/>
      <c r="M152" s="77" t="s">
        <v>407</v>
      </c>
    </row>
    <row r="153" spans="1:13" ht="15" customHeight="1" x14ac:dyDescent="0.25">
      <c r="A153" s="75" t="s">
        <v>132</v>
      </c>
      <c r="B153" s="76">
        <v>46057</v>
      </c>
      <c r="C153" s="77"/>
      <c r="D153" s="77" t="s">
        <v>167</v>
      </c>
      <c r="E153" s="77"/>
      <c r="F153" s="77"/>
      <c r="G153" s="77"/>
      <c r="H153" s="78"/>
      <c r="I153" s="79">
        <v>1454.75</v>
      </c>
      <c r="J153" s="79"/>
      <c r="K153" s="79"/>
      <c r="L153" s="77"/>
      <c r="M153" s="77" t="s">
        <v>407</v>
      </c>
    </row>
    <row r="154" spans="1:13" ht="15" customHeight="1" x14ac:dyDescent="0.25">
      <c r="A154" s="75" t="s">
        <v>132</v>
      </c>
      <c r="B154" s="76">
        <v>46057</v>
      </c>
      <c r="C154" s="77"/>
      <c r="D154" s="77" t="s">
        <v>167</v>
      </c>
      <c r="E154" s="77"/>
      <c r="F154" s="77"/>
      <c r="G154" s="77"/>
      <c r="H154" s="78"/>
      <c r="I154" s="79">
        <v>1594.41</v>
      </c>
      <c r="J154" s="79"/>
      <c r="K154" s="79"/>
      <c r="L154" s="77"/>
      <c r="M154" s="77" t="s">
        <v>407</v>
      </c>
    </row>
    <row r="155" spans="1:13" ht="15" customHeight="1" x14ac:dyDescent="0.25">
      <c r="A155" s="75" t="s">
        <v>132</v>
      </c>
      <c r="B155" s="76">
        <v>46058</v>
      </c>
      <c r="C155" s="77"/>
      <c r="D155" s="77" t="s">
        <v>167</v>
      </c>
      <c r="E155" s="77"/>
      <c r="F155" s="77"/>
      <c r="G155" s="77"/>
      <c r="H155" s="78"/>
      <c r="I155" s="79">
        <v>3491.4</v>
      </c>
      <c r="J155" s="79"/>
      <c r="K155" s="79"/>
      <c r="L155" s="77"/>
      <c r="M155" s="77" t="s">
        <v>407</v>
      </c>
    </row>
    <row r="156" spans="1:13" ht="15" customHeight="1" x14ac:dyDescent="0.25">
      <c r="A156" s="75" t="s">
        <v>132</v>
      </c>
      <c r="B156" s="76">
        <v>46059</v>
      </c>
      <c r="C156" s="77"/>
      <c r="D156" s="77" t="s">
        <v>167</v>
      </c>
      <c r="E156" s="77"/>
      <c r="F156" s="77"/>
      <c r="G156" s="77"/>
      <c r="H156" s="78"/>
      <c r="I156" s="79">
        <v>3060.79</v>
      </c>
      <c r="J156" s="79"/>
      <c r="K156" s="79"/>
      <c r="L156" s="77"/>
      <c r="M156" s="77" t="s">
        <v>407</v>
      </c>
    </row>
    <row r="157" spans="1:13" ht="15" customHeight="1" x14ac:dyDescent="0.25">
      <c r="A157" s="75" t="s">
        <v>132</v>
      </c>
      <c r="B157" s="76">
        <v>46060</v>
      </c>
      <c r="C157" s="77"/>
      <c r="D157" s="77" t="s">
        <v>167</v>
      </c>
      <c r="E157" s="77"/>
      <c r="F157" s="77"/>
      <c r="G157" s="77"/>
      <c r="H157" s="78"/>
      <c r="I157" s="79">
        <v>2618.5500000000002</v>
      </c>
      <c r="J157" s="79"/>
      <c r="K157" s="79"/>
      <c r="L157" s="77"/>
      <c r="M157" s="77" t="s">
        <v>407</v>
      </c>
    </row>
    <row r="158" spans="1:13" ht="15" customHeight="1" x14ac:dyDescent="0.25">
      <c r="A158" s="75" t="s">
        <v>132</v>
      </c>
      <c r="B158" s="76">
        <v>46061</v>
      </c>
      <c r="C158" s="77"/>
      <c r="D158" s="77" t="s">
        <v>167</v>
      </c>
      <c r="E158" s="77"/>
      <c r="F158" s="77"/>
      <c r="G158" s="77"/>
      <c r="H158" s="78"/>
      <c r="I158" s="79">
        <v>2473.08</v>
      </c>
      <c r="J158" s="79"/>
      <c r="K158" s="79"/>
      <c r="L158" s="77"/>
      <c r="M158" s="77" t="s">
        <v>407</v>
      </c>
    </row>
    <row r="159" spans="1:13" ht="15" customHeight="1" x14ac:dyDescent="0.25">
      <c r="A159" s="75" t="s">
        <v>132</v>
      </c>
      <c r="B159" s="76">
        <v>46062</v>
      </c>
      <c r="C159" s="77"/>
      <c r="D159" s="77" t="s">
        <v>167</v>
      </c>
      <c r="E159" s="77"/>
      <c r="F159" s="77"/>
      <c r="G159" s="77"/>
      <c r="H159" s="78"/>
      <c r="I159" s="79">
        <v>3002.6</v>
      </c>
      <c r="J159" s="79"/>
      <c r="K159" s="79"/>
      <c r="L159" s="77"/>
      <c r="M159" s="77" t="s">
        <v>407</v>
      </c>
    </row>
    <row r="160" spans="1:13" ht="15" customHeight="1" x14ac:dyDescent="0.25">
      <c r="A160" s="75" t="s">
        <v>132</v>
      </c>
      <c r="B160" s="76">
        <v>46066</v>
      </c>
      <c r="C160" s="77"/>
      <c r="D160" s="77" t="s">
        <v>167</v>
      </c>
      <c r="E160" s="77"/>
      <c r="F160" s="77"/>
      <c r="G160" s="77"/>
      <c r="H160" s="78"/>
      <c r="I160" s="79">
        <v>1862.08</v>
      </c>
      <c r="J160" s="79"/>
      <c r="K160" s="79"/>
      <c r="L160" s="77"/>
      <c r="M160" s="77" t="s">
        <v>407</v>
      </c>
    </row>
    <row r="161" spans="1:13" ht="15" customHeight="1" x14ac:dyDescent="0.25">
      <c r="A161" s="75" t="s">
        <v>132</v>
      </c>
      <c r="B161" s="76">
        <v>46067</v>
      </c>
      <c r="C161" s="77"/>
      <c r="D161" s="77" t="s">
        <v>167</v>
      </c>
      <c r="E161" s="77"/>
      <c r="F161" s="77"/>
      <c r="G161" s="77"/>
      <c r="H161" s="78"/>
      <c r="I161" s="79">
        <v>3025.88</v>
      </c>
      <c r="J161" s="79"/>
      <c r="K161" s="79"/>
      <c r="L161" s="77"/>
      <c r="M161" s="77" t="s">
        <v>407</v>
      </c>
    </row>
    <row r="162" spans="1:13" ht="15" customHeight="1" x14ac:dyDescent="0.25">
      <c r="A162" s="75" t="s">
        <v>132</v>
      </c>
      <c r="B162" s="76">
        <v>46068</v>
      </c>
      <c r="C162" s="77"/>
      <c r="D162" s="77" t="s">
        <v>167</v>
      </c>
      <c r="E162" s="77"/>
      <c r="F162" s="77"/>
      <c r="G162" s="77"/>
      <c r="H162" s="78"/>
      <c r="I162" s="79">
        <v>2455.62</v>
      </c>
      <c r="J162" s="79"/>
      <c r="K162" s="79"/>
      <c r="L162" s="77"/>
      <c r="M162" s="77" t="s">
        <v>407</v>
      </c>
    </row>
    <row r="163" spans="1:13" ht="15" customHeight="1" x14ac:dyDescent="0.25">
      <c r="A163" s="75" t="s">
        <v>132</v>
      </c>
      <c r="B163" s="76">
        <v>46069</v>
      </c>
      <c r="C163" s="77"/>
      <c r="D163" s="77" t="s">
        <v>167</v>
      </c>
      <c r="E163" s="77"/>
      <c r="F163" s="77"/>
      <c r="G163" s="77"/>
      <c r="H163" s="78"/>
      <c r="I163" s="79">
        <v>3142.26</v>
      </c>
      <c r="J163" s="79"/>
      <c r="K163" s="79"/>
      <c r="L163" s="77"/>
      <c r="M163" s="77" t="s">
        <v>407</v>
      </c>
    </row>
    <row r="164" spans="1:13" ht="15" customHeight="1" x14ac:dyDescent="0.25">
      <c r="A164" s="75" t="s">
        <v>132</v>
      </c>
      <c r="B164" s="76">
        <v>46070</v>
      </c>
      <c r="C164" s="77"/>
      <c r="D164" s="77" t="s">
        <v>167</v>
      </c>
      <c r="E164" s="77"/>
      <c r="F164" s="77"/>
      <c r="G164" s="77"/>
      <c r="H164" s="78"/>
      <c r="I164" s="79">
        <v>2356.6999999999998</v>
      </c>
      <c r="J164" s="79"/>
      <c r="K164" s="79"/>
      <c r="L164" s="77"/>
      <c r="M164" s="77" t="s">
        <v>407</v>
      </c>
    </row>
    <row r="165" spans="1:13" ht="15" customHeight="1" x14ac:dyDescent="0.25">
      <c r="A165" s="75" t="s">
        <v>132</v>
      </c>
      <c r="B165" s="76">
        <v>46071</v>
      </c>
      <c r="C165" s="77"/>
      <c r="D165" s="77" t="s">
        <v>167</v>
      </c>
      <c r="E165" s="77"/>
      <c r="F165" s="77"/>
      <c r="G165" s="77"/>
      <c r="H165" s="78"/>
      <c r="I165" s="79">
        <v>2473.08</v>
      </c>
      <c r="J165" s="79"/>
      <c r="K165" s="79"/>
      <c r="L165" s="77"/>
      <c r="M165" s="77" t="s">
        <v>407</v>
      </c>
    </row>
    <row r="166" spans="1:13" ht="15" customHeight="1" x14ac:dyDescent="0.25">
      <c r="A166" s="75" t="s">
        <v>132</v>
      </c>
      <c r="B166" s="76">
        <v>46072</v>
      </c>
      <c r="C166" s="77"/>
      <c r="D166" s="77" t="s">
        <v>167</v>
      </c>
      <c r="E166" s="77"/>
      <c r="F166" s="77"/>
      <c r="G166" s="77"/>
      <c r="H166" s="78"/>
      <c r="I166" s="79">
        <v>2211.2199999999998</v>
      </c>
      <c r="J166" s="79"/>
      <c r="K166" s="79"/>
      <c r="L166" s="77"/>
      <c r="M166" s="77" t="s">
        <v>407</v>
      </c>
    </row>
    <row r="167" spans="1:13" ht="15" customHeight="1" x14ac:dyDescent="0.25">
      <c r="A167" s="75" t="s">
        <v>132</v>
      </c>
      <c r="B167" s="76">
        <v>46073</v>
      </c>
      <c r="C167" s="77"/>
      <c r="D167" s="77" t="s">
        <v>167</v>
      </c>
      <c r="E167" s="77"/>
      <c r="F167" s="77"/>
      <c r="G167" s="77"/>
      <c r="H167" s="78"/>
      <c r="I167" s="79">
        <v>1473.95</v>
      </c>
      <c r="J167" s="79"/>
      <c r="K167" s="79"/>
      <c r="L167" s="77"/>
      <c r="M167" s="77" t="s">
        <v>407</v>
      </c>
    </row>
    <row r="168" spans="1:13" ht="15" customHeight="1" x14ac:dyDescent="0.25">
      <c r="A168" s="75" t="s">
        <v>132</v>
      </c>
      <c r="B168" s="76">
        <v>46074</v>
      </c>
      <c r="C168" s="77"/>
      <c r="D168" s="77" t="s">
        <v>167</v>
      </c>
      <c r="E168" s="77"/>
      <c r="F168" s="77"/>
      <c r="G168" s="77"/>
      <c r="H168" s="78"/>
      <c r="I168" s="79">
        <v>1596.78</v>
      </c>
      <c r="J168" s="79"/>
      <c r="K168" s="79"/>
      <c r="L168" s="77"/>
      <c r="M168" s="77" t="s">
        <v>407</v>
      </c>
    </row>
    <row r="169" spans="1:13" ht="15" customHeight="1" x14ac:dyDescent="0.25">
      <c r="A169" s="75" t="s">
        <v>132</v>
      </c>
      <c r="B169" s="76">
        <v>46075</v>
      </c>
      <c r="C169" s="77"/>
      <c r="D169" s="77" t="s">
        <v>167</v>
      </c>
      <c r="E169" s="77"/>
      <c r="F169" s="77"/>
      <c r="G169" s="77"/>
      <c r="H169" s="78"/>
      <c r="I169" s="79">
        <v>2526.77</v>
      </c>
      <c r="J169" s="79"/>
      <c r="K169" s="79"/>
      <c r="L169" s="77"/>
      <c r="M169" s="77" t="s">
        <v>407</v>
      </c>
    </row>
    <row r="170" spans="1:13" ht="15" customHeight="1" x14ac:dyDescent="0.25">
      <c r="A170" s="75" t="s">
        <v>132</v>
      </c>
      <c r="B170" s="76">
        <v>46076</v>
      </c>
      <c r="C170" s="77"/>
      <c r="D170" s="77" t="s">
        <v>167</v>
      </c>
      <c r="E170" s="77"/>
      <c r="F170" s="77"/>
      <c r="G170" s="77"/>
      <c r="H170" s="78"/>
      <c r="I170" s="79">
        <v>2363</v>
      </c>
      <c r="J170" s="79"/>
      <c r="K170" s="79"/>
      <c r="L170" s="77"/>
      <c r="M170" s="77" t="s">
        <v>407</v>
      </c>
    </row>
    <row r="171" spans="1:13" ht="15" customHeight="1" x14ac:dyDescent="0.25">
      <c r="A171" s="75" t="s">
        <v>132</v>
      </c>
      <c r="B171" s="76">
        <v>46077</v>
      </c>
      <c r="C171" s="77"/>
      <c r="D171" s="77" t="s">
        <v>167</v>
      </c>
      <c r="E171" s="77"/>
      <c r="F171" s="77"/>
      <c r="G171" s="77"/>
      <c r="H171" s="78"/>
      <c r="I171" s="79">
        <v>2754.88</v>
      </c>
      <c r="J171" s="79"/>
      <c r="K171" s="79"/>
      <c r="L171" s="77"/>
      <c r="M171" s="77" t="s">
        <v>407</v>
      </c>
    </row>
    <row r="172" spans="1:13" ht="15" customHeight="1" x14ac:dyDescent="0.25">
      <c r="A172" s="75" t="s">
        <v>132</v>
      </c>
      <c r="B172" s="76">
        <v>46078</v>
      </c>
      <c r="C172" s="77"/>
      <c r="D172" s="77" t="s">
        <v>167</v>
      </c>
      <c r="E172" s="77"/>
      <c r="F172" s="77"/>
      <c r="G172" s="77"/>
      <c r="H172" s="78"/>
      <c r="I172" s="79">
        <v>2994.69</v>
      </c>
      <c r="J172" s="79"/>
      <c r="K172" s="79"/>
      <c r="L172" s="77"/>
      <c r="M172" s="77" t="s">
        <v>407</v>
      </c>
    </row>
    <row r="173" spans="1:13" ht="15" customHeight="1" x14ac:dyDescent="0.25">
      <c r="A173" s="75" t="s">
        <v>132</v>
      </c>
      <c r="B173" s="76">
        <v>46079</v>
      </c>
      <c r="C173" s="77"/>
      <c r="D173" s="77" t="s">
        <v>167</v>
      </c>
      <c r="E173" s="77"/>
      <c r="F173" s="77"/>
      <c r="G173" s="77"/>
      <c r="H173" s="78"/>
      <c r="I173" s="79">
        <v>5486.36</v>
      </c>
      <c r="J173" s="79"/>
      <c r="K173" s="79"/>
      <c r="L173" s="77"/>
      <c r="M173" s="77" t="s">
        <v>407</v>
      </c>
    </row>
    <row r="174" spans="1:13" ht="15" customHeight="1" x14ac:dyDescent="0.25">
      <c r="A174" s="75" t="s">
        <v>132</v>
      </c>
      <c r="B174" s="76">
        <v>46080</v>
      </c>
      <c r="C174" s="77"/>
      <c r="D174" s="77" t="s">
        <v>167</v>
      </c>
      <c r="E174" s="77"/>
      <c r="F174" s="77"/>
      <c r="G174" s="77"/>
      <c r="H174" s="78"/>
      <c r="I174" s="79">
        <v>2866.01</v>
      </c>
      <c r="J174" s="79"/>
      <c r="K174" s="79"/>
      <c r="L174" s="77"/>
      <c r="M174" s="77" t="s">
        <v>407</v>
      </c>
    </row>
    <row r="175" spans="1:13" ht="15" customHeight="1" x14ac:dyDescent="0.25">
      <c r="A175" s="75" t="s">
        <v>132</v>
      </c>
      <c r="B175" s="76">
        <v>46081</v>
      </c>
      <c r="C175" s="77"/>
      <c r="D175" s="77" t="s">
        <v>167</v>
      </c>
      <c r="E175" s="77"/>
      <c r="F175" s="77"/>
      <c r="G175" s="77"/>
      <c r="H175" s="78"/>
      <c r="I175" s="79">
        <v>1111.31</v>
      </c>
      <c r="J175" s="79"/>
      <c r="K175" s="79"/>
      <c r="L175" s="77"/>
      <c r="M175" s="77" t="s">
        <v>407</v>
      </c>
    </row>
    <row r="176" spans="1:13" ht="15" customHeight="1" x14ac:dyDescent="0.25">
      <c r="A176" s="75" t="s">
        <v>132</v>
      </c>
      <c r="B176" s="76">
        <v>46082</v>
      </c>
      <c r="C176" s="77"/>
      <c r="D176" s="77" t="s">
        <v>167</v>
      </c>
      <c r="E176" s="77"/>
      <c r="F176" s="77"/>
      <c r="G176" s="77"/>
      <c r="H176" s="78"/>
      <c r="I176" s="79">
        <v>2836.77</v>
      </c>
      <c r="J176" s="79"/>
      <c r="K176" s="79"/>
      <c r="L176" s="77"/>
      <c r="M176" s="77" t="s">
        <v>407</v>
      </c>
    </row>
    <row r="177" spans="1:13" ht="15" customHeight="1" x14ac:dyDescent="0.25">
      <c r="A177" s="75" t="s">
        <v>132</v>
      </c>
      <c r="B177" s="76">
        <v>46083</v>
      </c>
      <c r="C177" s="77"/>
      <c r="D177" s="77" t="s">
        <v>167</v>
      </c>
      <c r="E177" s="77"/>
      <c r="F177" s="77"/>
      <c r="G177" s="77"/>
      <c r="H177" s="78"/>
      <c r="I177" s="79">
        <v>2749.03</v>
      </c>
      <c r="J177" s="79"/>
      <c r="K177" s="79"/>
      <c r="L177" s="77"/>
      <c r="M177" s="77" t="s">
        <v>407</v>
      </c>
    </row>
    <row r="178" spans="1:13" ht="15" customHeight="1" x14ac:dyDescent="0.25">
      <c r="A178" s="75" t="s">
        <v>132</v>
      </c>
      <c r="B178" s="76">
        <v>46083</v>
      </c>
      <c r="C178" s="77"/>
      <c r="D178" s="77" t="s">
        <v>167</v>
      </c>
      <c r="E178" s="77"/>
      <c r="F178" s="77"/>
      <c r="G178" s="77"/>
      <c r="H178" s="78"/>
      <c r="I178" s="79">
        <v>1865.83</v>
      </c>
      <c r="J178" s="79"/>
      <c r="K178" s="79"/>
      <c r="L178" s="77"/>
      <c r="M178" s="77" t="s">
        <v>407</v>
      </c>
    </row>
    <row r="179" spans="1:13" ht="15" customHeight="1" x14ac:dyDescent="0.25">
      <c r="A179" s="75" t="s">
        <v>132</v>
      </c>
      <c r="B179" s="76">
        <v>46084</v>
      </c>
      <c r="C179" s="77"/>
      <c r="D179" s="77" t="s">
        <v>167</v>
      </c>
      <c r="E179" s="77"/>
      <c r="F179" s="77"/>
      <c r="G179" s="77"/>
      <c r="H179" s="78"/>
      <c r="I179" s="79">
        <v>1850.9</v>
      </c>
      <c r="J179" s="79"/>
      <c r="K179" s="79"/>
      <c r="L179" s="77"/>
      <c r="M179" s="77" t="s">
        <v>407</v>
      </c>
    </row>
    <row r="180" spans="1:13" ht="15" customHeight="1" x14ac:dyDescent="0.25">
      <c r="A180" s="75" t="s">
        <v>132</v>
      </c>
      <c r="B180" s="76">
        <v>46084</v>
      </c>
      <c r="C180" s="77"/>
      <c r="D180" s="77" t="s">
        <v>167</v>
      </c>
      <c r="E180" s="77"/>
      <c r="F180" s="77"/>
      <c r="G180" s="77"/>
      <c r="H180" s="78"/>
      <c r="I180" s="79">
        <v>1929.28</v>
      </c>
      <c r="J180" s="79"/>
      <c r="K180" s="79"/>
      <c r="L180" s="77"/>
      <c r="M180" s="77" t="s">
        <v>407</v>
      </c>
    </row>
    <row r="181" spans="1:13" ht="15" customHeight="1" x14ac:dyDescent="0.25">
      <c r="A181" s="75" t="s">
        <v>132</v>
      </c>
      <c r="B181" s="76">
        <v>46085</v>
      </c>
      <c r="C181" s="77"/>
      <c r="D181" s="77" t="s">
        <v>167</v>
      </c>
      <c r="E181" s="77"/>
      <c r="F181" s="77"/>
      <c r="G181" s="77"/>
      <c r="H181" s="78"/>
      <c r="I181" s="79">
        <v>1360.86</v>
      </c>
      <c r="J181" s="79"/>
      <c r="K181" s="79"/>
      <c r="L181" s="77"/>
      <c r="M181" s="77" t="s">
        <v>407</v>
      </c>
    </row>
    <row r="182" spans="1:13" ht="15" customHeight="1" x14ac:dyDescent="0.25">
      <c r="A182" s="75" t="s">
        <v>132</v>
      </c>
      <c r="B182" s="76">
        <v>46085</v>
      </c>
      <c r="C182" s="77"/>
      <c r="D182" s="77" t="s">
        <v>167</v>
      </c>
      <c r="E182" s="77"/>
      <c r="F182" s="77"/>
      <c r="G182" s="77"/>
      <c r="H182" s="78"/>
      <c r="I182" s="79">
        <v>2044.48</v>
      </c>
      <c r="J182" s="79"/>
      <c r="K182" s="79"/>
      <c r="L182" s="77"/>
      <c r="M182" s="77" t="s">
        <v>407</v>
      </c>
    </row>
    <row r="183" spans="1:13" ht="15" customHeight="1" x14ac:dyDescent="0.25">
      <c r="A183" s="75" t="s">
        <v>132</v>
      </c>
      <c r="B183" s="76">
        <v>46086</v>
      </c>
      <c r="C183" s="77"/>
      <c r="D183" s="77" t="s">
        <v>167</v>
      </c>
      <c r="E183" s="77"/>
      <c r="F183" s="77"/>
      <c r="G183" s="77"/>
      <c r="H183" s="78"/>
      <c r="I183" s="79">
        <v>1455.3</v>
      </c>
      <c r="J183" s="79"/>
      <c r="K183" s="79"/>
      <c r="L183" s="77"/>
      <c r="M183" s="77" t="s">
        <v>407</v>
      </c>
    </row>
    <row r="184" spans="1:13" ht="15" customHeight="1" x14ac:dyDescent="0.25">
      <c r="A184" s="75" t="s">
        <v>132</v>
      </c>
      <c r="B184" s="76">
        <v>46086</v>
      </c>
      <c r="C184" s="77"/>
      <c r="D184" s="77" t="s">
        <v>167</v>
      </c>
      <c r="E184" s="77"/>
      <c r="F184" s="77"/>
      <c r="G184" s="77"/>
      <c r="H184" s="78"/>
      <c r="I184" s="79">
        <v>2142</v>
      </c>
      <c r="J184" s="79"/>
      <c r="K184" s="79"/>
      <c r="L184" s="77"/>
      <c r="M184" s="77" t="s">
        <v>407</v>
      </c>
    </row>
    <row r="185" spans="1:13" ht="15" customHeight="1" x14ac:dyDescent="0.25">
      <c r="A185" s="75" t="s">
        <v>132</v>
      </c>
      <c r="B185" s="76">
        <v>46087</v>
      </c>
      <c r="C185" s="77"/>
      <c r="D185" s="77" t="s">
        <v>167</v>
      </c>
      <c r="E185" s="77"/>
      <c r="F185" s="77"/>
      <c r="G185" s="77"/>
      <c r="H185" s="78"/>
      <c r="I185" s="79">
        <v>2929.5</v>
      </c>
      <c r="J185" s="79"/>
      <c r="K185" s="79"/>
      <c r="L185" s="77"/>
      <c r="M185" s="77" t="s">
        <v>407</v>
      </c>
    </row>
    <row r="186" spans="1:13" ht="15" customHeight="1" x14ac:dyDescent="0.25">
      <c r="A186" s="75" t="s">
        <v>132</v>
      </c>
      <c r="B186" s="76">
        <v>46088</v>
      </c>
      <c r="C186" s="77"/>
      <c r="D186" s="77" t="s">
        <v>167</v>
      </c>
      <c r="E186" s="77"/>
      <c r="F186" s="77"/>
      <c r="G186" s="77"/>
      <c r="H186" s="78"/>
      <c r="I186" s="79">
        <v>2034</v>
      </c>
      <c r="J186" s="79"/>
      <c r="K186" s="79"/>
      <c r="L186" s="77"/>
      <c r="M186" s="77" t="s">
        <v>407</v>
      </c>
    </row>
    <row r="187" spans="1:13" ht="15" customHeight="1" x14ac:dyDescent="0.25">
      <c r="A187" s="75" t="s">
        <v>132</v>
      </c>
      <c r="B187" s="76">
        <v>46089</v>
      </c>
      <c r="C187" s="77"/>
      <c r="D187" s="77" t="s">
        <v>167</v>
      </c>
      <c r="E187" s="77"/>
      <c r="F187" s="77"/>
      <c r="G187" s="77"/>
      <c r="H187" s="78"/>
      <c r="I187" s="79">
        <v>2983.2</v>
      </c>
      <c r="J187" s="79"/>
      <c r="K187" s="79"/>
      <c r="L187" s="77"/>
      <c r="M187" s="77" t="s">
        <v>407</v>
      </c>
    </row>
    <row r="188" spans="1:13" ht="15" customHeight="1" x14ac:dyDescent="0.25">
      <c r="A188" s="75" t="s">
        <v>132</v>
      </c>
      <c r="B188" s="76">
        <v>46090</v>
      </c>
      <c r="C188" s="77"/>
      <c r="D188" s="77" t="s">
        <v>167</v>
      </c>
      <c r="E188" s="77"/>
      <c r="F188" s="77"/>
      <c r="G188" s="77"/>
      <c r="H188" s="78"/>
      <c r="I188" s="79">
        <v>3322.2</v>
      </c>
      <c r="J188" s="79"/>
      <c r="K188" s="79"/>
      <c r="L188" s="77"/>
      <c r="M188" s="77" t="s">
        <v>407</v>
      </c>
    </row>
    <row r="189" spans="1:13" ht="15" customHeight="1" x14ac:dyDescent="0.25">
      <c r="A189" s="75" t="s">
        <v>132</v>
      </c>
      <c r="B189" s="76">
        <v>46091</v>
      </c>
      <c r="C189" s="77"/>
      <c r="D189" s="77" t="s">
        <v>167</v>
      </c>
      <c r="E189" s="77"/>
      <c r="F189" s="77"/>
      <c r="G189" s="77"/>
      <c r="H189" s="78"/>
      <c r="I189" s="79">
        <v>3675</v>
      </c>
      <c r="J189" s="79"/>
      <c r="K189" s="79"/>
      <c r="L189" s="77"/>
      <c r="M189" s="77" t="s">
        <v>407</v>
      </c>
    </row>
    <row r="190" spans="1:13" ht="15" customHeight="1" x14ac:dyDescent="0.25">
      <c r="A190" s="75" t="s">
        <v>132</v>
      </c>
      <c r="B190" s="76">
        <v>46025</v>
      </c>
      <c r="C190" s="77"/>
      <c r="D190" s="77" t="s">
        <v>134</v>
      </c>
      <c r="E190" s="77"/>
      <c r="F190" s="77"/>
      <c r="G190" s="77"/>
      <c r="H190" s="78"/>
      <c r="I190" s="79">
        <v>173.07</v>
      </c>
      <c r="J190" s="79"/>
      <c r="K190" s="79"/>
      <c r="L190" s="77"/>
      <c r="M190" s="77" t="s">
        <v>407</v>
      </c>
    </row>
    <row r="191" spans="1:13" ht="15" customHeight="1" x14ac:dyDescent="0.25">
      <c r="A191" s="75" t="s">
        <v>132</v>
      </c>
      <c r="B191" s="76">
        <v>46026</v>
      </c>
      <c r="C191" s="77"/>
      <c r="D191" s="77" t="s">
        <v>135</v>
      </c>
      <c r="E191" s="77"/>
      <c r="F191" s="77"/>
      <c r="G191" s="77"/>
      <c r="H191" s="78"/>
      <c r="I191" s="79">
        <v>146.11000000000001</v>
      </c>
      <c r="J191" s="79"/>
      <c r="K191" s="79"/>
      <c r="L191" s="77"/>
      <c r="M191" s="77" t="s">
        <v>407</v>
      </c>
    </row>
    <row r="192" spans="1:13" ht="15" customHeight="1" x14ac:dyDescent="0.25">
      <c r="A192" s="75" t="s">
        <v>132</v>
      </c>
      <c r="B192" s="76">
        <v>46030</v>
      </c>
      <c r="C192" s="77"/>
      <c r="D192" s="77" t="s">
        <v>141</v>
      </c>
      <c r="E192" s="77"/>
      <c r="F192" s="77"/>
      <c r="G192" s="77"/>
      <c r="H192" s="78"/>
      <c r="I192" s="79">
        <v>243.61</v>
      </c>
      <c r="J192" s="79"/>
      <c r="K192" s="79"/>
      <c r="L192" s="77"/>
      <c r="M192" s="77" t="s">
        <v>407</v>
      </c>
    </row>
    <row r="193" spans="1:13" ht="15" customHeight="1" x14ac:dyDescent="0.25">
      <c r="A193" s="75" t="s">
        <v>132</v>
      </c>
      <c r="B193" s="76">
        <v>46034</v>
      </c>
      <c r="C193" s="77"/>
      <c r="D193" s="77" t="s">
        <v>144</v>
      </c>
      <c r="E193" s="77"/>
      <c r="F193" s="77"/>
      <c r="G193" s="77"/>
      <c r="H193" s="78"/>
      <c r="I193" s="79">
        <v>174.65</v>
      </c>
      <c r="J193" s="79"/>
      <c r="K193" s="79"/>
      <c r="L193" s="77"/>
      <c r="M193" s="77" t="s">
        <v>407</v>
      </c>
    </row>
    <row r="194" spans="1:13" ht="15" customHeight="1" x14ac:dyDescent="0.25">
      <c r="A194" s="75" t="s">
        <v>132</v>
      </c>
      <c r="B194" s="76">
        <v>46036</v>
      </c>
      <c r="C194" s="77"/>
      <c r="D194" s="77" t="s">
        <v>139</v>
      </c>
      <c r="E194" s="77"/>
      <c r="F194" s="77"/>
      <c r="G194" s="77"/>
      <c r="H194" s="78"/>
      <c r="I194" s="79">
        <v>44.18</v>
      </c>
      <c r="J194" s="79"/>
      <c r="K194" s="79"/>
      <c r="L194" s="77"/>
      <c r="M194" s="77" t="s">
        <v>407</v>
      </c>
    </row>
    <row r="195" spans="1:13" ht="15" customHeight="1" x14ac:dyDescent="0.25">
      <c r="A195" s="75" t="s">
        <v>132</v>
      </c>
      <c r="B195" s="76">
        <v>46037</v>
      </c>
      <c r="C195" s="77"/>
      <c r="D195" s="77" t="s">
        <v>145</v>
      </c>
      <c r="E195" s="77"/>
      <c r="F195" s="77"/>
      <c r="G195" s="77"/>
      <c r="H195" s="78"/>
      <c r="I195" s="79">
        <v>44.05</v>
      </c>
      <c r="J195" s="79"/>
      <c r="K195" s="79"/>
      <c r="L195" s="77"/>
      <c r="M195" s="77" t="s">
        <v>407</v>
      </c>
    </row>
    <row r="196" spans="1:13" ht="15" customHeight="1" x14ac:dyDescent="0.25">
      <c r="A196" s="75" t="s">
        <v>132</v>
      </c>
      <c r="B196" s="76">
        <v>46037</v>
      </c>
      <c r="C196" s="77"/>
      <c r="D196" s="77" t="s">
        <v>146</v>
      </c>
      <c r="E196" s="77"/>
      <c r="F196" s="77"/>
      <c r="G196" s="77"/>
      <c r="H196" s="78"/>
      <c r="I196" s="79">
        <v>143.85</v>
      </c>
      <c r="J196" s="79"/>
      <c r="K196" s="79"/>
      <c r="L196" s="77"/>
      <c r="M196" s="77" t="s">
        <v>407</v>
      </c>
    </row>
    <row r="197" spans="1:13" ht="15" customHeight="1" x14ac:dyDescent="0.25">
      <c r="A197" s="75" t="s">
        <v>132</v>
      </c>
      <c r="B197" s="76">
        <v>46038</v>
      </c>
      <c r="C197" s="77"/>
      <c r="D197" s="77" t="s">
        <v>134</v>
      </c>
      <c r="E197" s="77"/>
      <c r="F197" s="77"/>
      <c r="G197" s="77"/>
      <c r="H197" s="78"/>
      <c r="I197" s="79">
        <v>147.91</v>
      </c>
      <c r="J197" s="79"/>
      <c r="K197" s="79"/>
      <c r="L197" s="77"/>
      <c r="M197" s="77" t="s">
        <v>407</v>
      </c>
    </row>
    <row r="198" spans="1:13" ht="15" customHeight="1" x14ac:dyDescent="0.25">
      <c r="A198" s="75" t="s">
        <v>132</v>
      </c>
      <c r="B198" s="76">
        <v>46039</v>
      </c>
      <c r="C198" s="77"/>
      <c r="D198" s="77" t="s">
        <v>134</v>
      </c>
      <c r="E198" s="77"/>
      <c r="F198" s="77"/>
      <c r="G198" s="77"/>
      <c r="H198" s="78"/>
      <c r="I198" s="79">
        <v>104.86</v>
      </c>
      <c r="J198" s="79"/>
      <c r="K198" s="79"/>
      <c r="L198" s="77"/>
      <c r="M198" s="77" t="s">
        <v>407</v>
      </c>
    </row>
    <row r="199" spans="1:13" ht="15" customHeight="1" x14ac:dyDescent="0.25">
      <c r="A199" s="75" t="s">
        <v>132</v>
      </c>
      <c r="B199" s="76">
        <v>46039</v>
      </c>
      <c r="C199" s="77"/>
      <c r="D199" s="77" t="s">
        <v>147</v>
      </c>
      <c r="E199" s="77"/>
      <c r="F199" s="77"/>
      <c r="G199" s="77"/>
      <c r="H199" s="78"/>
      <c r="I199" s="79">
        <v>93.32</v>
      </c>
      <c r="J199" s="79"/>
      <c r="K199" s="79"/>
      <c r="L199" s="77"/>
      <c r="M199" s="77" t="s">
        <v>407</v>
      </c>
    </row>
    <row r="200" spans="1:13" ht="15" customHeight="1" x14ac:dyDescent="0.25">
      <c r="A200" s="75" t="s">
        <v>132</v>
      </c>
      <c r="B200" s="76">
        <v>46042</v>
      </c>
      <c r="C200" s="77"/>
      <c r="D200" s="77" t="s">
        <v>134</v>
      </c>
      <c r="E200" s="77"/>
      <c r="F200" s="77"/>
      <c r="G200" s="77"/>
      <c r="H200" s="78"/>
      <c r="I200" s="79">
        <v>61.1</v>
      </c>
      <c r="J200" s="79"/>
      <c r="K200" s="79"/>
      <c r="L200" s="77"/>
      <c r="M200" s="77" t="s">
        <v>407</v>
      </c>
    </row>
    <row r="201" spans="1:13" ht="15" customHeight="1" x14ac:dyDescent="0.25">
      <c r="A201" s="75" t="s">
        <v>132</v>
      </c>
      <c r="B201" s="76">
        <v>46043</v>
      </c>
      <c r="C201" s="77"/>
      <c r="D201" s="77" t="s">
        <v>135</v>
      </c>
      <c r="E201" s="77"/>
      <c r="F201" s="77"/>
      <c r="G201" s="77"/>
      <c r="H201" s="78"/>
      <c r="I201" s="79">
        <v>104.22</v>
      </c>
      <c r="J201" s="79"/>
      <c r="K201" s="79"/>
      <c r="L201" s="77"/>
      <c r="M201" s="77" t="s">
        <v>407</v>
      </c>
    </row>
    <row r="202" spans="1:13" ht="15" customHeight="1" x14ac:dyDescent="0.25">
      <c r="A202" s="75" t="s">
        <v>132</v>
      </c>
      <c r="B202" s="76">
        <v>46043</v>
      </c>
      <c r="C202" s="77"/>
      <c r="D202" s="77" t="s">
        <v>149</v>
      </c>
      <c r="E202" s="77"/>
      <c r="F202" s="77"/>
      <c r="G202" s="77"/>
      <c r="H202" s="78"/>
      <c r="I202" s="79">
        <v>93.9</v>
      </c>
      <c r="J202" s="79"/>
      <c r="K202" s="79"/>
      <c r="L202" s="77"/>
      <c r="M202" s="77" t="s">
        <v>407</v>
      </c>
    </row>
    <row r="203" spans="1:13" ht="15" customHeight="1" x14ac:dyDescent="0.25">
      <c r="A203" s="75" t="s">
        <v>132</v>
      </c>
      <c r="B203" s="76">
        <v>46044</v>
      </c>
      <c r="C203" s="77"/>
      <c r="D203" s="77" t="s">
        <v>141</v>
      </c>
      <c r="E203" s="77"/>
      <c r="F203" s="77"/>
      <c r="G203" s="77"/>
      <c r="H203" s="78"/>
      <c r="I203" s="79">
        <v>174.65</v>
      </c>
      <c r="J203" s="79"/>
      <c r="K203" s="79"/>
      <c r="L203" s="77"/>
      <c r="M203" s="77" t="s">
        <v>407</v>
      </c>
    </row>
    <row r="204" spans="1:13" ht="15" customHeight="1" x14ac:dyDescent="0.25">
      <c r="A204" s="75" t="s">
        <v>132</v>
      </c>
      <c r="B204" s="76">
        <v>46046</v>
      </c>
      <c r="C204" s="77"/>
      <c r="D204" s="77" t="s">
        <v>150</v>
      </c>
      <c r="E204" s="77"/>
      <c r="F204" s="77"/>
      <c r="G204" s="77"/>
      <c r="H204" s="78"/>
      <c r="I204" s="79">
        <v>258.85000000000002</v>
      </c>
      <c r="J204" s="79"/>
      <c r="K204" s="79"/>
      <c r="L204" s="77"/>
      <c r="M204" s="77" t="s">
        <v>407</v>
      </c>
    </row>
    <row r="205" spans="1:13" ht="15" customHeight="1" x14ac:dyDescent="0.25">
      <c r="A205" s="75" t="s">
        <v>132</v>
      </c>
      <c r="B205" s="76">
        <v>46049</v>
      </c>
      <c r="C205" s="77"/>
      <c r="D205" s="77" t="s">
        <v>143</v>
      </c>
      <c r="E205" s="77"/>
      <c r="F205" s="77"/>
      <c r="G205" s="77"/>
      <c r="H205" s="78"/>
      <c r="I205" s="79">
        <v>35.15</v>
      </c>
      <c r="J205" s="79"/>
      <c r="K205" s="79"/>
      <c r="L205" s="77"/>
      <c r="M205" s="77" t="s">
        <v>407</v>
      </c>
    </row>
    <row r="206" spans="1:13" ht="15" customHeight="1" x14ac:dyDescent="0.25">
      <c r="A206" s="75" t="s">
        <v>132</v>
      </c>
      <c r="B206" s="76">
        <v>46049</v>
      </c>
      <c r="C206" s="77"/>
      <c r="D206" s="77" t="s">
        <v>151</v>
      </c>
      <c r="E206" s="77"/>
      <c r="F206" s="77"/>
      <c r="G206" s="77"/>
      <c r="H206" s="78"/>
      <c r="I206" s="79">
        <v>128.94999999999999</v>
      </c>
      <c r="J206" s="79"/>
      <c r="K206" s="79"/>
      <c r="L206" s="77"/>
      <c r="M206" s="77" t="s">
        <v>407</v>
      </c>
    </row>
    <row r="207" spans="1:13" ht="15" customHeight="1" x14ac:dyDescent="0.25">
      <c r="A207" s="75" t="s">
        <v>132</v>
      </c>
      <c r="B207" s="76">
        <v>46049</v>
      </c>
      <c r="C207" s="77"/>
      <c r="D207" s="77" t="s">
        <v>144</v>
      </c>
      <c r="E207" s="77"/>
      <c r="F207" s="77"/>
      <c r="G207" s="77"/>
      <c r="H207" s="78"/>
      <c r="I207" s="79">
        <v>259.57</v>
      </c>
      <c r="J207" s="79"/>
      <c r="K207" s="79"/>
      <c r="L207" s="77"/>
      <c r="M207" s="77" t="s">
        <v>407</v>
      </c>
    </row>
    <row r="208" spans="1:13" ht="15" customHeight="1" x14ac:dyDescent="0.25">
      <c r="A208" s="75" t="s">
        <v>132</v>
      </c>
      <c r="B208" s="76">
        <v>46050</v>
      </c>
      <c r="C208" s="77"/>
      <c r="D208" s="77" t="s">
        <v>153</v>
      </c>
      <c r="E208" s="77"/>
      <c r="F208" s="77"/>
      <c r="G208" s="77"/>
      <c r="H208" s="78"/>
      <c r="I208" s="79">
        <v>36.07</v>
      </c>
      <c r="J208" s="79"/>
      <c r="K208" s="79"/>
      <c r="L208" s="77"/>
      <c r="M208" s="77" t="s">
        <v>407</v>
      </c>
    </row>
    <row r="209" spans="1:13" ht="15" customHeight="1" x14ac:dyDescent="0.25">
      <c r="A209" s="75" t="s">
        <v>132</v>
      </c>
      <c r="B209" s="76">
        <v>46051</v>
      </c>
      <c r="C209" s="77"/>
      <c r="D209" s="77" t="s">
        <v>134</v>
      </c>
      <c r="E209" s="77"/>
      <c r="F209" s="77"/>
      <c r="G209" s="77"/>
      <c r="H209" s="78"/>
      <c r="I209" s="79">
        <v>117.5</v>
      </c>
      <c r="J209" s="79"/>
      <c r="K209" s="79"/>
      <c r="L209" s="77"/>
      <c r="M209" s="77" t="s">
        <v>407</v>
      </c>
    </row>
    <row r="210" spans="1:13" ht="15" customHeight="1" x14ac:dyDescent="0.25">
      <c r="A210" s="75" t="s">
        <v>132</v>
      </c>
      <c r="B210" s="76">
        <v>46053</v>
      </c>
      <c r="C210" s="77"/>
      <c r="D210" s="77" t="s">
        <v>154</v>
      </c>
      <c r="E210" s="77"/>
      <c r="F210" s="77"/>
      <c r="G210" s="77"/>
      <c r="H210" s="78"/>
      <c r="I210" s="79">
        <v>129.22</v>
      </c>
      <c r="J210" s="79"/>
      <c r="K210" s="79"/>
      <c r="L210" s="77"/>
      <c r="M210" s="77" t="s">
        <v>407</v>
      </c>
    </row>
    <row r="211" spans="1:13" ht="15" customHeight="1" x14ac:dyDescent="0.25">
      <c r="A211" s="75" t="s">
        <v>132</v>
      </c>
      <c r="B211" s="76">
        <v>46057</v>
      </c>
      <c r="C211" s="77"/>
      <c r="D211" s="77" t="s">
        <v>134</v>
      </c>
      <c r="E211" s="77"/>
      <c r="F211" s="77"/>
      <c r="G211" s="77"/>
      <c r="H211" s="78"/>
      <c r="I211" s="79">
        <v>144.82</v>
      </c>
      <c r="J211" s="79"/>
      <c r="K211" s="79"/>
      <c r="L211" s="77"/>
      <c r="M211" s="77" t="s">
        <v>407</v>
      </c>
    </row>
    <row r="212" spans="1:13" ht="15" customHeight="1" x14ac:dyDescent="0.25">
      <c r="A212" s="75" t="s">
        <v>132</v>
      </c>
      <c r="B212" s="76">
        <v>46057</v>
      </c>
      <c r="C212" s="77"/>
      <c r="D212" s="77" t="s">
        <v>143</v>
      </c>
      <c r="E212" s="77"/>
      <c r="F212" s="77"/>
      <c r="G212" s="77"/>
      <c r="H212" s="78"/>
      <c r="I212" s="79">
        <v>92.48</v>
      </c>
      <c r="J212" s="79"/>
      <c r="K212" s="79"/>
      <c r="L212" s="77"/>
      <c r="M212" s="77" t="s">
        <v>407</v>
      </c>
    </row>
    <row r="213" spans="1:13" ht="15" customHeight="1" x14ac:dyDescent="0.25">
      <c r="A213" s="75" t="s">
        <v>132</v>
      </c>
      <c r="B213" s="76">
        <v>46058</v>
      </c>
      <c r="C213" s="77"/>
      <c r="D213" s="77" t="s">
        <v>135</v>
      </c>
      <c r="E213" s="77"/>
      <c r="F213" s="77"/>
      <c r="G213" s="77"/>
      <c r="H213" s="78"/>
      <c r="I213" s="79">
        <v>72.260000000000005</v>
      </c>
      <c r="J213" s="79"/>
      <c r="K213" s="79"/>
      <c r="L213" s="77"/>
      <c r="M213" s="77" t="s">
        <v>407</v>
      </c>
    </row>
    <row r="214" spans="1:13" ht="15" customHeight="1" x14ac:dyDescent="0.25">
      <c r="A214" s="75" t="s">
        <v>132</v>
      </c>
      <c r="B214" s="76">
        <v>46061</v>
      </c>
      <c r="C214" s="77"/>
      <c r="D214" s="77" t="s">
        <v>141</v>
      </c>
      <c r="E214" s="77"/>
      <c r="F214" s="77"/>
      <c r="G214" s="77"/>
      <c r="H214" s="78"/>
      <c r="I214" s="79">
        <v>239.52</v>
      </c>
      <c r="J214" s="79"/>
      <c r="K214" s="79"/>
      <c r="L214" s="77"/>
      <c r="M214" s="77" t="s">
        <v>407</v>
      </c>
    </row>
    <row r="215" spans="1:13" ht="15" customHeight="1" x14ac:dyDescent="0.25">
      <c r="A215" s="75" t="s">
        <v>132</v>
      </c>
      <c r="B215" s="76">
        <v>46062</v>
      </c>
      <c r="C215" s="77"/>
      <c r="D215" s="77" t="s">
        <v>137</v>
      </c>
      <c r="E215" s="77"/>
      <c r="F215" s="77"/>
      <c r="G215" s="77"/>
      <c r="H215" s="78"/>
      <c r="I215" s="79">
        <v>385.15</v>
      </c>
      <c r="J215" s="79"/>
      <c r="K215" s="79"/>
      <c r="L215" s="77"/>
      <c r="M215" s="77" t="s">
        <v>407</v>
      </c>
    </row>
    <row r="216" spans="1:13" ht="15" customHeight="1" x14ac:dyDescent="0.25">
      <c r="A216" s="75" t="s">
        <v>132</v>
      </c>
      <c r="B216" s="76">
        <v>46062</v>
      </c>
      <c r="C216" s="77"/>
      <c r="D216" s="77" t="s">
        <v>134</v>
      </c>
      <c r="E216" s="77"/>
      <c r="F216" s="77"/>
      <c r="G216" s="77"/>
      <c r="H216" s="78"/>
      <c r="I216" s="79">
        <v>139.15</v>
      </c>
      <c r="J216" s="79"/>
      <c r="K216" s="79"/>
      <c r="L216" s="77"/>
      <c r="M216" s="77" t="s">
        <v>407</v>
      </c>
    </row>
    <row r="217" spans="1:13" ht="15" customHeight="1" x14ac:dyDescent="0.25">
      <c r="A217" s="75" t="s">
        <v>132</v>
      </c>
      <c r="B217" s="76">
        <v>46064</v>
      </c>
      <c r="C217" s="77"/>
      <c r="D217" s="77" t="s">
        <v>134</v>
      </c>
      <c r="E217" s="77"/>
      <c r="F217" s="77"/>
      <c r="G217" s="77"/>
      <c r="H217" s="78"/>
      <c r="I217" s="79">
        <v>168.84</v>
      </c>
      <c r="J217" s="79"/>
      <c r="K217" s="79"/>
      <c r="L217" s="77"/>
      <c r="M217" s="77" t="s">
        <v>407</v>
      </c>
    </row>
    <row r="218" spans="1:13" ht="15" customHeight="1" x14ac:dyDescent="0.25">
      <c r="A218" s="75" t="s">
        <v>132</v>
      </c>
      <c r="B218" s="76">
        <v>46066</v>
      </c>
      <c r="C218" s="77"/>
      <c r="D218" s="77" t="s">
        <v>144</v>
      </c>
      <c r="E218" s="77"/>
      <c r="F218" s="77"/>
      <c r="G218" s="77"/>
      <c r="H218" s="78"/>
      <c r="I218" s="79">
        <v>199.6</v>
      </c>
      <c r="J218" s="79"/>
      <c r="K218" s="79"/>
      <c r="L218" s="77"/>
      <c r="M218" s="77" t="s">
        <v>407</v>
      </c>
    </row>
    <row r="219" spans="1:13" ht="15" customHeight="1" x14ac:dyDescent="0.25">
      <c r="A219" s="75" t="s">
        <v>132</v>
      </c>
      <c r="B219" s="76">
        <v>46067</v>
      </c>
      <c r="C219" s="77"/>
      <c r="D219" s="77" t="s">
        <v>139</v>
      </c>
      <c r="E219" s="77"/>
      <c r="F219" s="77"/>
      <c r="G219" s="77"/>
      <c r="H219" s="78"/>
      <c r="I219" s="79">
        <v>137.79</v>
      </c>
      <c r="J219" s="79"/>
      <c r="K219" s="79"/>
      <c r="L219" s="77"/>
      <c r="M219" s="77" t="s">
        <v>407</v>
      </c>
    </row>
    <row r="220" spans="1:13" ht="15" customHeight="1" x14ac:dyDescent="0.25">
      <c r="A220" s="75" t="s">
        <v>132</v>
      </c>
      <c r="B220" s="76">
        <v>46068</v>
      </c>
      <c r="C220" s="77"/>
      <c r="D220" s="77" t="s">
        <v>146</v>
      </c>
      <c r="E220" s="77"/>
      <c r="F220" s="77"/>
      <c r="G220" s="77"/>
      <c r="H220" s="78"/>
      <c r="I220" s="79">
        <v>116.42</v>
      </c>
      <c r="J220" s="79"/>
      <c r="K220" s="79"/>
      <c r="L220" s="77"/>
      <c r="M220" s="77" t="s">
        <v>407</v>
      </c>
    </row>
    <row r="221" spans="1:13" ht="15" customHeight="1" x14ac:dyDescent="0.25">
      <c r="A221" s="75" t="s">
        <v>132</v>
      </c>
      <c r="B221" s="76">
        <v>46068</v>
      </c>
      <c r="C221" s="77"/>
      <c r="D221" s="77" t="s">
        <v>151</v>
      </c>
      <c r="E221" s="77"/>
      <c r="F221" s="77"/>
      <c r="G221" s="77"/>
      <c r="H221" s="78"/>
      <c r="I221" s="79">
        <v>137.88</v>
      </c>
      <c r="J221" s="79"/>
      <c r="K221" s="79"/>
      <c r="L221" s="77"/>
      <c r="M221" s="77" t="s">
        <v>407</v>
      </c>
    </row>
    <row r="222" spans="1:13" ht="15" customHeight="1" x14ac:dyDescent="0.25">
      <c r="A222" s="75" t="s">
        <v>132</v>
      </c>
      <c r="B222" s="76">
        <v>46069</v>
      </c>
      <c r="C222" s="77"/>
      <c r="D222" s="77" t="s">
        <v>137</v>
      </c>
      <c r="E222" s="77"/>
      <c r="F222" s="77"/>
      <c r="G222" s="77"/>
      <c r="H222" s="78"/>
      <c r="I222" s="79">
        <v>146.28</v>
      </c>
      <c r="J222" s="79"/>
      <c r="K222" s="79"/>
      <c r="L222" s="77"/>
      <c r="M222" s="77" t="s">
        <v>407</v>
      </c>
    </row>
    <row r="223" spans="1:13" ht="15" customHeight="1" x14ac:dyDescent="0.25">
      <c r="A223" s="75" t="s">
        <v>132</v>
      </c>
      <c r="B223" s="76">
        <v>46071</v>
      </c>
      <c r="C223" s="77"/>
      <c r="D223" s="77" t="s">
        <v>141</v>
      </c>
      <c r="E223" s="77"/>
      <c r="F223" s="77"/>
      <c r="G223" s="77"/>
      <c r="H223" s="78"/>
      <c r="I223" s="79">
        <v>234.95</v>
      </c>
      <c r="J223" s="79"/>
      <c r="K223" s="79"/>
      <c r="L223" s="77"/>
      <c r="M223" s="77" t="s">
        <v>407</v>
      </c>
    </row>
    <row r="224" spans="1:13" ht="15" customHeight="1" x14ac:dyDescent="0.25">
      <c r="A224" s="75" t="s">
        <v>132</v>
      </c>
      <c r="B224" s="76">
        <v>46072</v>
      </c>
      <c r="C224" s="77"/>
      <c r="D224" s="77" t="s">
        <v>149</v>
      </c>
      <c r="E224" s="77"/>
      <c r="F224" s="77"/>
      <c r="G224" s="77"/>
      <c r="H224" s="78"/>
      <c r="I224" s="79">
        <v>96.84</v>
      </c>
      <c r="J224" s="79"/>
      <c r="K224" s="79"/>
      <c r="L224" s="77"/>
      <c r="M224" s="77" t="s">
        <v>407</v>
      </c>
    </row>
    <row r="225" spans="1:13" ht="15" customHeight="1" x14ac:dyDescent="0.25">
      <c r="A225" s="75" t="s">
        <v>132</v>
      </c>
      <c r="B225" s="76">
        <v>46076</v>
      </c>
      <c r="C225" s="77"/>
      <c r="D225" s="77" t="s">
        <v>134</v>
      </c>
      <c r="E225" s="77"/>
      <c r="F225" s="77"/>
      <c r="G225" s="77"/>
      <c r="H225" s="78"/>
      <c r="I225" s="79">
        <v>65.59</v>
      </c>
      <c r="J225" s="79"/>
      <c r="K225" s="79"/>
      <c r="L225" s="77"/>
      <c r="M225" s="77" t="s">
        <v>407</v>
      </c>
    </row>
    <row r="226" spans="1:13" ht="15" customHeight="1" x14ac:dyDescent="0.25">
      <c r="A226" s="75" t="s">
        <v>132</v>
      </c>
      <c r="B226" s="76">
        <v>46077</v>
      </c>
      <c r="C226" s="77"/>
      <c r="D226" s="77" t="s">
        <v>135</v>
      </c>
      <c r="E226" s="77"/>
      <c r="F226" s="77"/>
      <c r="G226" s="77"/>
      <c r="H226" s="78"/>
      <c r="I226" s="79">
        <v>70.06</v>
      </c>
      <c r="J226" s="79"/>
      <c r="K226" s="79"/>
      <c r="L226" s="77"/>
      <c r="M226" s="77" t="s">
        <v>407</v>
      </c>
    </row>
    <row r="227" spans="1:13" ht="15" customHeight="1" x14ac:dyDescent="0.25">
      <c r="A227" s="75" t="s">
        <v>132</v>
      </c>
      <c r="B227" s="76">
        <v>46079</v>
      </c>
      <c r="C227" s="77"/>
      <c r="D227" s="77" t="s">
        <v>141</v>
      </c>
      <c r="E227" s="77"/>
      <c r="F227" s="77"/>
      <c r="G227" s="77"/>
      <c r="H227" s="78"/>
      <c r="I227" s="79">
        <v>199.6</v>
      </c>
      <c r="J227" s="79"/>
      <c r="K227" s="79"/>
      <c r="L227" s="77"/>
      <c r="M227" s="77" t="s">
        <v>407</v>
      </c>
    </row>
    <row r="228" spans="1:13" ht="15" customHeight="1" x14ac:dyDescent="0.25">
      <c r="A228" s="75" t="s">
        <v>132</v>
      </c>
      <c r="B228" s="76">
        <v>46079</v>
      </c>
      <c r="C228" s="77"/>
      <c r="D228" s="77" t="s">
        <v>143</v>
      </c>
      <c r="E228" s="77"/>
      <c r="F228" s="77"/>
      <c r="G228" s="77"/>
      <c r="H228" s="78"/>
      <c r="I228" s="79">
        <v>127.62</v>
      </c>
      <c r="J228" s="79"/>
      <c r="K228" s="79"/>
      <c r="L228" s="77"/>
      <c r="M228" s="77" t="s">
        <v>407</v>
      </c>
    </row>
    <row r="229" spans="1:13" ht="15" customHeight="1" x14ac:dyDescent="0.25">
      <c r="A229" s="75" t="s">
        <v>132</v>
      </c>
      <c r="B229" s="76">
        <v>46081</v>
      </c>
      <c r="C229" s="77"/>
      <c r="D229" s="77" t="s">
        <v>134</v>
      </c>
      <c r="E229" s="77"/>
      <c r="F229" s="77"/>
      <c r="G229" s="77"/>
      <c r="H229" s="78"/>
      <c r="I229" s="79">
        <v>174.87</v>
      </c>
      <c r="J229" s="79"/>
      <c r="K229" s="79"/>
      <c r="L229" s="77"/>
      <c r="M229" s="77" t="s">
        <v>407</v>
      </c>
    </row>
    <row r="230" spans="1:13" ht="15" customHeight="1" x14ac:dyDescent="0.25">
      <c r="A230" s="75" t="s">
        <v>132</v>
      </c>
      <c r="B230" s="76">
        <v>46083</v>
      </c>
      <c r="C230" s="77"/>
      <c r="D230" s="77" t="s">
        <v>137</v>
      </c>
      <c r="E230" s="77"/>
      <c r="F230" s="77"/>
      <c r="G230" s="77"/>
      <c r="H230" s="78"/>
      <c r="I230" s="79">
        <v>344.04</v>
      </c>
      <c r="J230" s="79"/>
      <c r="K230" s="79"/>
      <c r="L230" s="77"/>
      <c r="M230" s="77" t="s">
        <v>407</v>
      </c>
    </row>
    <row r="231" spans="1:13" ht="15" customHeight="1" x14ac:dyDescent="0.25">
      <c r="A231" s="75" t="s">
        <v>132</v>
      </c>
      <c r="B231" s="76">
        <v>46084</v>
      </c>
      <c r="C231" s="77"/>
      <c r="D231" s="77" t="s">
        <v>161</v>
      </c>
      <c r="E231" s="77"/>
      <c r="F231" s="77"/>
      <c r="G231" s="77"/>
      <c r="H231" s="78"/>
      <c r="I231" s="79">
        <v>84</v>
      </c>
      <c r="J231" s="79"/>
      <c r="K231" s="79"/>
      <c r="L231" s="77"/>
      <c r="M231" s="77" t="s">
        <v>407</v>
      </c>
    </row>
    <row r="232" spans="1:13" ht="15" customHeight="1" x14ac:dyDescent="0.25">
      <c r="A232" s="75" t="s">
        <v>132</v>
      </c>
      <c r="B232" s="76">
        <v>46084</v>
      </c>
      <c r="C232" s="77"/>
      <c r="D232" s="77" t="s">
        <v>162</v>
      </c>
      <c r="E232" s="77"/>
      <c r="F232" s="77"/>
      <c r="G232" s="77"/>
      <c r="H232" s="78"/>
      <c r="I232" s="79">
        <v>146.63999999999999</v>
      </c>
      <c r="J232" s="79"/>
      <c r="K232" s="79"/>
      <c r="L232" s="77"/>
      <c r="M232" s="77" t="s">
        <v>407</v>
      </c>
    </row>
    <row r="233" spans="1:13" ht="15" customHeight="1" x14ac:dyDescent="0.25">
      <c r="A233" s="75" t="s">
        <v>132</v>
      </c>
      <c r="B233" s="76">
        <v>46085</v>
      </c>
      <c r="C233" s="77"/>
      <c r="D233" s="77" t="s">
        <v>163</v>
      </c>
      <c r="E233" s="77"/>
      <c r="F233" s="77"/>
      <c r="G233" s="77"/>
      <c r="H233" s="78"/>
      <c r="I233" s="79">
        <v>172.64</v>
      </c>
      <c r="J233" s="79"/>
      <c r="K233" s="79"/>
      <c r="L233" s="77"/>
      <c r="M233" s="77" t="s">
        <v>407</v>
      </c>
    </row>
    <row r="234" spans="1:13" ht="15" customHeight="1" x14ac:dyDescent="0.25">
      <c r="A234" s="75" t="s">
        <v>132</v>
      </c>
      <c r="B234" s="76">
        <v>46085</v>
      </c>
      <c r="C234" s="77"/>
      <c r="D234" s="77" t="s">
        <v>168</v>
      </c>
      <c r="E234" s="77"/>
      <c r="F234" s="77"/>
      <c r="G234" s="77"/>
      <c r="H234" s="78"/>
      <c r="I234" s="79">
        <v>71.8</v>
      </c>
      <c r="J234" s="79"/>
      <c r="K234" s="79"/>
      <c r="L234" s="77"/>
      <c r="M234" s="77" t="s">
        <v>407</v>
      </c>
    </row>
    <row r="235" spans="1:13" ht="15" customHeight="1" x14ac:dyDescent="0.25">
      <c r="A235" s="75" t="s">
        <v>132</v>
      </c>
      <c r="B235" s="76">
        <v>46087</v>
      </c>
      <c r="C235" s="77"/>
      <c r="D235" s="77" t="s">
        <v>165</v>
      </c>
      <c r="E235" s="77"/>
      <c r="F235" s="77"/>
      <c r="G235" s="77"/>
      <c r="H235" s="78"/>
      <c r="I235" s="79">
        <v>172.46</v>
      </c>
      <c r="J235" s="79"/>
      <c r="K235" s="79"/>
      <c r="L235" s="77"/>
      <c r="M235" s="77" t="s">
        <v>407</v>
      </c>
    </row>
    <row r="236" spans="1:13" ht="15" customHeight="1" x14ac:dyDescent="0.25">
      <c r="A236" s="75" t="s">
        <v>132</v>
      </c>
      <c r="B236" s="76">
        <v>46088</v>
      </c>
      <c r="C236" s="77"/>
      <c r="D236" s="77" t="s">
        <v>166</v>
      </c>
      <c r="E236" s="77"/>
      <c r="F236" s="77"/>
      <c r="G236" s="77"/>
      <c r="H236" s="78"/>
      <c r="I236" s="79">
        <v>64.64</v>
      </c>
      <c r="J236" s="79"/>
      <c r="K236" s="79"/>
      <c r="L236" s="77"/>
      <c r="M236" s="77" t="s">
        <v>407</v>
      </c>
    </row>
  </sheetData>
  <mergeCells count="3">
    <mergeCell ref="A1:M1"/>
    <mergeCell ref="A2:M2"/>
    <mergeCell ref="A3:M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M180"/>
  <sheetViews>
    <sheetView showGridLines="0" zoomScaleNormal="100" workbookViewId="0">
      <pane ySplit="4" topLeftCell="A5" activePane="bottomLeft" state="frozen"/>
      <selection pane="bottomLeft" activeCell="L5" sqref="L5:L180"/>
    </sheetView>
  </sheetViews>
  <sheetFormatPr defaultColWidth="8.7109375" defaultRowHeight="15" x14ac:dyDescent="0.25"/>
  <cols>
    <col min="1" max="1" width="18" customWidth="1"/>
    <col min="2" max="3" width="13" customWidth="1"/>
    <col min="4" max="4" width="32" customWidth="1"/>
    <col min="5" max="5" width="22" customWidth="1"/>
    <col min="6" max="6" width="11" customWidth="1"/>
    <col min="7" max="7" width="16" customWidth="1"/>
    <col min="8" max="8" width="10" customWidth="1"/>
    <col min="9" max="10" width="15" customWidth="1"/>
    <col min="11" max="11" width="14" customWidth="1"/>
    <col min="12" max="12" width="28" customWidth="1"/>
    <col min="13" max="13" width="12" customWidth="1"/>
  </cols>
  <sheetData>
    <row r="1" spans="1:13" s="1" customFormat="1" ht="48.75" customHeight="1" x14ac:dyDescent="0.25">
      <c r="A1" s="89" t="e" vm="1">
        <v>#VALUE!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31.5" customHeight="1" x14ac:dyDescent="0.25">
      <c r="A2" s="91" t="s">
        <v>405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15.75" customHeight="1" x14ac:dyDescent="0.25">
      <c r="A3" s="93" t="s">
        <v>406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ht="21.75" customHeight="1" x14ac:dyDescent="0.25">
      <c r="A4" s="74" t="s">
        <v>120</v>
      </c>
      <c r="B4" s="74" t="s">
        <v>121</v>
      </c>
      <c r="C4" s="74" t="s">
        <v>122</v>
      </c>
      <c r="D4" s="74" t="s">
        <v>123</v>
      </c>
      <c r="E4" s="74" t="s">
        <v>124</v>
      </c>
      <c r="F4" s="74" t="s">
        <v>73</v>
      </c>
      <c r="G4" s="74" t="s">
        <v>114</v>
      </c>
      <c r="H4" s="74" t="s">
        <v>125</v>
      </c>
      <c r="I4" s="74" t="s">
        <v>126</v>
      </c>
      <c r="J4" s="74" t="s">
        <v>127</v>
      </c>
      <c r="K4" s="74" t="s">
        <v>128</v>
      </c>
      <c r="L4" s="74" t="s">
        <v>129</v>
      </c>
      <c r="M4" s="74" t="s">
        <v>130</v>
      </c>
    </row>
    <row r="5" spans="1:13" ht="15" customHeight="1" x14ac:dyDescent="0.25">
      <c r="A5" s="75" t="s">
        <v>169</v>
      </c>
      <c r="B5" s="77"/>
      <c r="C5" s="76">
        <v>46092</v>
      </c>
      <c r="D5" s="77"/>
      <c r="E5" s="77" t="s">
        <v>15</v>
      </c>
      <c r="F5" s="98" t="s">
        <v>408</v>
      </c>
      <c r="G5" s="77" t="s">
        <v>12</v>
      </c>
      <c r="H5" s="78">
        <v>31.53</v>
      </c>
      <c r="I5" s="79"/>
      <c r="J5" s="79">
        <v>212.51</v>
      </c>
      <c r="K5" s="79"/>
      <c r="L5" s="99" t="s">
        <v>409</v>
      </c>
      <c r="M5" s="77"/>
    </row>
    <row r="6" spans="1:13" ht="15" customHeight="1" x14ac:dyDescent="0.25">
      <c r="A6" s="75" t="s">
        <v>169</v>
      </c>
      <c r="B6" s="77"/>
      <c r="C6" s="76">
        <v>46092</v>
      </c>
      <c r="D6" s="77"/>
      <c r="E6" s="77" t="s">
        <v>15</v>
      </c>
      <c r="F6" s="98" t="s">
        <v>408</v>
      </c>
      <c r="G6" s="77" t="s">
        <v>10</v>
      </c>
      <c r="H6" s="78">
        <v>80.131</v>
      </c>
      <c r="I6" s="79"/>
      <c r="J6" s="79">
        <v>548.09</v>
      </c>
      <c r="K6" s="79"/>
      <c r="L6" s="99" t="s">
        <v>409</v>
      </c>
      <c r="M6" s="77"/>
    </row>
    <row r="7" spans="1:13" ht="15" customHeight="1" x14ac:dyDescent="0.25">
      <c r="A7" s="75" t="s">
        <v>169</v>
      </c>
      <c r="B7" s="77"/>
      <c r="C7" s="76">
        <v>46092</v>
      </c>
      <c r="D7" s="77"/>
      <c r="E7" s="77" t="s">
        <v>15</v>
      </c>
      <c r="F7" s="98" t="s">
        <v>408</v>
      </c>
      <c r="G7" s="77" t="s">
        <v>10</v>
      </c>
      <c r="H7" s="78">
        <v>342.37099999999998</v>
      </c>
      <c r="I7" s="79"/>
      <c r="J7" s="79">
        <v>2341.81</v>
      </c>
      <c r="K7" s="79"/>
      <c r="L7" s="99" t="s">
        <v>409</v>
      </c>
      <c r="M7" s="77"/>
    </row>
    <row r="8" spans="1:13" ht="15" customHeight="1" x14ac:dyDescent="0.25">
      <c r="A8" s="75" t="s">
        <v>169</v>
      </c>
      <c r="B8" s="77"/>
      <c r="C8" s="76">
        <v>46092</v>
      </c>
      <c r="D8" s="77"/>
      <c r="E8" s="77" t="s">
        <v>15</v>
      </c>
      <c r="F8" s="98" t="s">
        <v>408</v>
      </c>
      <c r="G8" s="77" t="s">
        <v>12</v>
      </c>
      <c r="H8" s="78">
        <v>25.07</v>
      </c>
      <c r="I8" s="79"/>
      <c r="J8" s="79">
        <v>168.97</v>
      </c>
      <c r="K8" s="79"/>
      <c r="L8" s="99" t="s">
        <v>409</v>
      </c>
      <c r="M8" s="77"/>
    </row>
    <row r="9" spans="1:13" ht="15" customHeight="1" x14ac:dyDescent="0.25">
      <c r="A9" s="75" t="s">
        <v>169</v>
      </c>
      <c r="B9" s="77"/>
      <c r="C9" s="76">
        <v>46091</v>
      </c>
      <c r="D9" s="77"/>
      <c r="E9" s="77" t="s">
        <v>15</v>
      </c>
      <c r="F9" s="98" t="s">
        <v>408</v>
      </c>
      <c r="G9" s="77" t="s">
        <v>10</v>
      </c>
      <c r="H9" s="78">
        <v>428.44099999999997</v>
      </c>
      <c r="I9" s="79"/>
      <c r="J9" s="79">
        <v>2930.53</v>
      </c>
      <c r="K9" s="79"/>
      <c r="L9" s="99" t="s">
        <v>409</v>
      </c>
      <c r="M9" s="77"/>
    </row>
    <row r="10" spans="1:13" ht="15" customHeight="1" x14ac:dyDescent="0.25">
      <c r="A10" s="75" t="s">
        <v>169</v>
      </c>
      <c r="B10" s="77"/>
      <c r="C10" s="76">
        <v>46091</v>
      </c>
      <c r="D10" s="77"/>
      <c r="E10" s="77" t="s">
        <v>15</v>
      </c>
      <c r="F10" s="98" t="s">
        <v>408</v>
      </c>
      <c r="G10" s="77" t="s">
        <v>10</v>
      </c>
      <c r="H10" s="78">
        <v>317.05099999999999</v>
      </c>
      <c r="I10" s="79"/>
      <c r="J10" s="79">
        <v>2168.62</v>
      </c>
      <c r="K10" s="79"/>
      <c r="L10" s="99" t="s">
        <v>409</v>
      </c>
      <c r="M10" s="77"/>
    </row>
    <row r="11" spans="1:13" ht="15" customHeight="1" x14ac:dyDescent="0.25">
      <c r="A11" s="75" t="s">
        <v>169</v>
      </c>
      <c r="B11" s="77"/>
      <c r="C11" s="76">
        <v>46091</v>
      </c>
      <c r="D11" s="77"/>
      <c r="E11" s="77" t="s">
        <v>15</v>
      </c>
      <c r="F11" s="98" t="s">
        <v>408</v>
      </c>
      <c r="G11" s="77" t="s">
        <v>6</v>
      </c>
      <c r="H11" s="78">
        <v>16.72</v>
      </c>
      <c r="I11" s="79"/>
      <c r="J11" s="79">
        <v>52.51</v>
      </c>
      <c r="K11" s="79"/>
      <c r="L11" s="99" t="s">
        <v>409</v>
      </c>
      <c r="M11" s="77"/>
    </row>
    <row r="12" spans="1:13" ht="15" customHeight="1" x14ac:dyDescent="0.25">
      <c r="A12" s="75" t="s">
        <v>169</v>
      </c>
      <c r="B12" s="77"/>
      <c r="C12" s="76">
        <v>46091</v>
      </c>
      <c r="D12" s="77"/>
      <c r="E12" s="77" t="s">
        <v>15</v>
      </c>
      <c r="F12" s="98" t="s">
        <v>408</v>
      </c>
      <c r="G12" s="77" t="s">
        <v>12</v>
      </c>
      <c r="H12" s="78">
        <v>43.6</v>
      </c>
      <c r="I12" s="79"/>
      <c r="J12" s="79">
        <v>293.86</v>
      </c>
      <c r="K12" s="79"/>
      <c r="L12" s="99" t="s">
        <v>409</v>
      </c>
      <c r="M12" s="77"/>
    </row>
    <row r="13" spans="1:13" ht="15" customHeight="1" x14ac:dyDescent="0.25">
      <c r="A13" s="75" t="s">
        <v>169</v>
      </c>
      <c r="B13" s="77"/>
      <c r="C13" s="76">
        <v>46090</v>
      </c>
      <c r="D13" s="77"/>
      <c r="E13" s="77" t="s">
        <v>19</v>
      </c>
      <c r="F13" s="98" t="s">
        <v>408</v>
      </c>
      <c r="G13" s="77" t="s">
        <v>12</v>
      </c>
      <c r="H13" s="78">
        <v>34.53</v>
      </c>
      <c r="I13" s="79"/>
      <c r="J13" s="79">
        <v>224.1</v>
      </c>
      <c r="K13" s="79"/>
      <c r="L13" s="99" t="s">
        <v>409</v>
      </c>
      <c r="M13" s="77"/>
    </row>
    <row r="14" spans="1:13" ht="15" customHeight="1" x14ac:dyDescent="0.25">
      <c r="A14" s="75" t="s">
        <v>169</v>
      </c>
      <c r="B14" s="77"/>
      <c r="C14" s="76">
        <v>46088</v>
      </c>
      <c r="D14" s="77"/>
      <c r="E14" s="77" t="s">
        <v>15</v>
      </c>
      <c r="F14" s="98" t="s">
        <v>408</v>
      </c>
      <c r="G14" s="77" t="s">
        <v>10</v>
      </c>
      <c r="H14" s="78">
        <v>320.20999999999998</v>
      </c>
      <c r="I14" s="79"/>
      <c r="J14" s="79">
        <v>2062.15</v>
      </c>
      <c r="K14" s="79"/>
      <c r="L14" s="99" t="s">
        <v>409</v>
      </c>
      <c r="M14" s="77"/>
    </row>
    <row r="15" spans="1:13" ht="15" customHeight="1" x14ac:dyDescent="0.25">
      <c r="A15" s="75" t="s">
        <v>169</v>
      </c>
      <c r="B15" s="77"/>
      <c r="C15" s="76">
        <v>46088</v>
      </c>
      <c r="D15" s="77"/>
      <c r="E15" s="77" t="s">
        <v>15</v>
      </c>
      <c r="F15" s="98" t="s">
        <v>408</v>
      </c>
      <c r="G15" s="77" t="s">
        <v>11</v>
      </c>
      <c r="H15" s="78">
        <v>321.55</v>
      </c>
      <c r="I15" s="79"/>
      <c r="J15" s="79">
        <v>2006.47</v>
      </c>
      <c r="K15" s="79"/>
      <c r="L15" s="99" t="s">
        <v>409</v>
      </c>
      <c r="M15" s="77"/>
    </row>
    <row r="16" spans="1:13" ht="15" customHeight="1" x14ac:dyDescent="0.25">
      <c r="A16" s="75" t="s">
        <v>169</v>
      </c>
      <c r="B16" s="77"/>
      <c r="C16" s="76">
        <v>46088</v>
      </c>
      <c r="D16" s="77"/>
      <c r="E16" s="77" t="s">
        <v>15</v>
      </c>
      <c r="F16" s="98" t="s">
        <v>408</v>
      </c>
      <c r="G16" s="77" t="s">
        <v>10</v>
      </c>
      <c r="H16" s="78">
        <v>356.30099999999999</v>
      </c>
      <c r="I16" s="79"/>
      <c r="J16" s="79">
        <v>2294.5700000000002</v>
      </c>
      <c r="K16" s="79"/>
      <c r="L16" s="99" t="s">
        <v>409</v>
      </c>
      <c r="M16" s="77"/>
    </row>
    <row r="17" spans="1:13" ht="15" customHeight="1" x14ac:dyDescent="0.25">
      <c r="A17" s="75" t="s">
        <v>169</v>
      </c>
      <c r="B17" s="77"/>
      <c r="C17" s="76">
        <v>46087</v>
      </c>
      <c r="D17" s="77"/>
      <c r="E17" s="77" t="s">
        <v>15</v>
      </c>
      <c r="F17" s="98" t="s">
        <v>408</v>
      </c>
      <c r="G17" s="77" t="s">
        <v>10</v>
      </c>
      <c r="H17" s="78">
        <v>553.82100000000003</v>
      </c>
      <c r="I17" s="79"/>
      <c r="J17" s="79">
        <v>3400.46</v>
      </c>
      <c r="K17" s="79"/>
      <c r="L17" s="99" t="s">
        <v>409</v>
      </c>
      <c r="M17" s="77"/>
    </row>
    <row r="18" spans="1:13" ht="15" customHeight="1" x14ac:dyDescent="0.25">
      <c r="A18" s="75" t="s">
        <v>169</v>
      </c>
      <c r="B18" s="77"/>
      <c r="C18" s="76">
        <v>46087</v>
      </c>
      <c r="D18" s="77"/>
      <c r="E18" s="77" t="s">
        <v>15</v>
      </c>
      <c r="F18" s="98" t="s">
        <v>408</v>
      </c>
      <c r="G18" s="77" t="s">
        <v>12</v>
      </c>
      <c r="H18" s="78">
        <v>38.481000000000002</v>
      </c>
      <c r="I18" s="79"/>
      <c r="J18" s="79">
        <v>261.27999999999997</v>
      </c>
      <c r="K18" s="79"/>
      <c r="L18" s="99" t="s">
        <v>409</v>
      </c>
      <c r="M18" s="77"/>
    </row>
    <row r="19" spans="1:13" ht="15" customHeight="1" x14ac:dyDescent="0.25">
      <c r="A19" s="75" t="s">
        <v>169</v>
      </c>
      <c r="B19" s="77"/>
      <c r="C19" s="76">
        <v>46087</v>
      </c>
      <c r="D19" s="77"/>
      <c r="E19" s="77" t="s">
        <v>15</v>
      </c>
      <c r="F19" s="98" t="s">
        <v>408</v>
      </c>
      <c r="G19" s="77" t="s">
        <v>12</v>
      </c>
      <c r="H19" s="78">
        <v>47.25</v>
      </c>
      <c r="I19" s="79"/>
      <c r="J19" s="79">
        <v>320.82</v>
      </c>
      <c r="K19" s="79"/>
      <c r="L19" s="99" t="s">
        <v>409</v>
      </c>
      <c r="M19" s="77"/>
    </row>
    <row r="20" spans="1:13" ht="15" customHeight="1" x14ac:dyDescent="0.25">
      <c r="A20" s="75" t="s">
        <v>169</v>
      </c>
      <c r="B20" s="77"/>
      <c r="C20" s="76">
        <v>46086</v>
      </c>
      <c r="D20" s="77"/>
      <c r="E20" s="77" t="s">
        <v>15</v>
      </c>
      <c r="F20" s="98" t="s">
        <v>408</v>
      </c>
      <c r="G20" s="77" t="s">
        <v>12</v>
      </c>
      <c r="H20" s="78">
        <v>25</v>
      </c>
      <c r="I20" s="79"/>
      <c r="J20" s="79">
        <v>169.75</v>
      </c>
      <c r="K20" s="79"/>
      <c r="L20" s="99" t="s">
        <v>409</v>
      </c>
      <c r="M20" s="77"/>
    </row>
    <row r="21" spans="1:13" ht="15" customHeight="1" x14ac:dyDescent="0.25">
      <c r="A21" s="75" t="s">
        <v>169</v>
      </c>
      <c r="B21" s="77"/>
      <c r="C21" s="76">
        <v>46086</v>
      </c>
      <c r="D21" s="77"/>
      <c r="E21" s="77" t="s">
        <v>15</v>
      </c>
      <c r="F21" s="98" t="s">
        <v>408</v>
      </c>
      <c r="G21" s="77" t="s">
        <v>11</v>
      </c>
      <c r="H21" s="78">
        <v>39.140999999999998</v>
      </c>
      <c r="I21" s="79"/>
      <c r="J21" s="79">
        <v>238.36</v>
      </c>
      <c r="K21" s="79"/>
      <c r="L21" s="99" t="s">
        <v>409</v>
      </c>
      <c r="M21" s="77"/>
    </row>
    <row r="22" spans="1:13" ht="15" customHeight="1" x14ac:dyDescent="0.25">
      <c r="A22" s="75" t="s">
        <v>169</v>
      </c>
      <c r="B22" s="77"/>
      <c r="C22" s="76">
        <v>46085</v>
      </c>
      <c r="D22" s="77"/>
      <c r="E22" s="77" t="s">
        <v>15</v>
      </c>
      <c r="F22" s="98" t="s">
        <v>408</v>
      </c>
      <c r="G22" s="77" t="s">
        <v>10</v>
      </c>
      <c r="H22" s="78">
        <v>330.43099999999998</v>
      </c>
      <c r="I22" s="79"/>
      <c r="J22" s="79">
        <v>1979.28</v>
      </c>
      <c r="K22" s="79"/>
      <c r="L22" s="99" t="s">
        <v>409</v>
      </c>
      <c r="M22" s="77"/>
    </row>
    <row r="23" spans="1:13" ht="15" customHeight="1" x14ac:dyDescent="0.25">
      <c r="A23" s="75" t="s">
        <v>169</v>
      </c>
      <c r="B23" s="77"/>
      <c r="C23" s="76">
        <v>46085</v>
      </c>
      <c r="D23" s="77"/>
      <c r="E23" s="77" t="s">
        <v>15</v>
      </c>
      <c r="F23" s="98" t="s">
        <v>408</v>
      </c>
      <c r="G23" s="77" t="s">
        <v>12</v>
      </c>
      <c r="H23" s="78">
        <v>38.229999999999997</v>
      </c>
      <c r="I23" s="79"/>
      <c r="J23" s="79">
        <v>259.58</v>
      </c>
      <c r="K23" s="79"/>
      <c r="L23" s="99" t="s">
        <v>409</v>
      </c>
      <c r="M23" s="77"/>
    </row>
    <row r="24" spans="1:13" ht="15" customHeight="1" x14ac:dyDescent="0.25">
      <c r="A24" s="75" t="s">
        <v>169</v>
      </c>
      <c r="B24" s="77"/>
      <c r="C24" s="76">
        <v>46085</v>
      </c>
      <c r="D24" s="77"/>
      <c r="E24" s="77" t="s">
        <v>15</v>
      </c>
      <c r="F24" s="98" t="s">
        <v>408</v>
      </c>
      <c r="G24" s="77" t="s">
        <v>12</v>
      </c>
      <c r="H24" s="78">
        <v>16.951000000000001</v>
      </c>
      <c r="I24" s="79"/>
      <c r="J24" s="79">
        <v>115.09</v>
      </c>
      <c r="K24" s="79"/>
      <c r="L24" s="99" t="s">
        <v>409</v>
      </c>
      <c r="M24" s="77"/>
    </row>
    <row r="25" spans="1:13" ht="15" customHeight="1" x14ac:dyDescent="0.25">
      <c r="A25" s="75" t="s">
        <v>169</v>
      </c>
      <c r="B25" s="77"/>
      <c r="C25" s="76">
        <v>46085</v>
      </c>
      <c r="D25" s="77"/>
      <c r="E25" s="77" t="s">
        <v>15</v>
      </c>
      <c r="F25" s="98" t="s">
        <v>408</v>
      </c>
      <c r="G25" s="77" t="s">
        <v>11</v>
      </c>
      <c r="H25" s="78">
        <v>517.86</v>
      </c>
      <c r="I25" s="79"/>
      <c r="J25" s="79">
        <v>3050.19</v>
      </c>
      <c r="K25" s="79"/>
      <c r="L25" s="99" t="s">
        <v>409</v>
      </c>
      <c r="M25" s="77"/>
    </row>
    <row r="26" spans="1:13" ht="15" customHeight="1" x14ac:dyDescent="0.25">
      <c r="A26" s="75" t="s">
        <v>169</v>
      </c>
      <c r="B26" s="77"/>
      <c r="C26" s="76">
        <v>46084</v>
      </c>
      <c r="D26" s="77"/>
      <c r="E26" s="77" t="s">
        <v>15</v>
      </c>
      <c r="F26" s="98" t="s">
        <v>408</v>
      </c>
      <c r="G26" s="77" t="s">
        <v>11</v>
      </c>
      <c r="H26" s="78">
        <v>490.9</v>
      </c>
      <c r="I26" s="79"/>
      <c r="J26" s="79">
        <v>2891.4</v>
      </c>
      <c r="K26" s="79"/>
      <c r="L26" s="99" t="s">
        <v>409</v>
      </c>
      <c r="M26" s="77"/>
    </row>
    <row r="27" spans="1:13" ht="15" customHeight="1" x14ac:dyDescent="0.25">
      <c r="A27" s="75" t="s">
        <v>169</v>
      </c>
      <c r="B27" s="77"/>
      <c r="C27" s="76">
        <v>46084</v>
      </c>
      <c r="D27" s="77"/>
      <c r="E27" s="77" t="s">
        <v>15</v>
      </c>
      <c r="F27" s="98" t="s">
        <v>408</v>
      </c>
      <c r="G27" s="77" t="s">
        <v>11</v>
      </c>
      <c r="H27" s="78">
        <v>285.02100000000002</v>
      </c>
      <c r="I27" s="79"/>
      <c r="J27" s="79">
        <v>1678.77</v>
      </c>
      <c r="K27" s="79"/>
      <c r="L27" s="99" t="s">
        <v>409</v>
      </c>
      <c r="M27" s="77"/>
    </row>
    <row r="28" spans="1:13" ht="15" customHeight="1" x14ac:dyDescent="0.25">
      <c r="A28" s="75" t="s">
        <v>169</v>
      </c>
      <c r="B28" s="77"/>
      <c r="C28" s="76">
        <v>46084</v>
      </c>
      <c r="D28" s="77"/>
      <c r="E28" s="77" t="s">
        <v>15</v>
      </c>
      <c r="F28" s="98" t="s">
        <v>408</v>
      </c>
      <c r="G28" s="77" t="s">
        <v>11</v>
      </c>
      <c r="H28" s="78">
        <v>330.11099999999999</v>
      </c>
      <c r="I28" s="79"/>
      <c r="J28" s="79">
        <v>1944.35</v>
      </c>
      <c r="K28" s="79"/>
      <c r="L28" s="99" t="s">
        <v>409</v>
      </c>
      <c r="M28" s="77"/>
    </row>
    <row r="29" spans="1:13" ht="15" customHeight="1" x14ac:dyDescent="0.25">
      <c r="A29" s="75" t="s">
        <v>169</v>
      </c>
      <c r="B29" s="77"/>
      <c r="C29" s="76">
        <v>46084</v>
      </c>
      <c r="D29" s="77"/>
      <c r="E29" s="77" t="s">
        <v>15</v>
      </c>
      <c r="F29" s="98" t="s">
        <v>408</v>
      </c>
      <c r="G29" s="77" t="s">
        <v>12</v>
      </c>
      <c r="H29" s="78">
        <v>34.409999999999997</v>
      </c>
      <c r="I29" s="79"/>
      <c r="J29" s="79">
        <v>233.64</v>
      </c>
      <c r="K29" s="79"/>
      <c r="L29" s="99" t="s">
        <v>409</v>
      </c>
      <c r="M29" s="77"/>
    </row>
    <row r="30" spans="1:13" ht="15" customHeight="1" x14ac:dyDescent="0.25">
      <c r="A30" s="75" t="s">
        <v>169</v>
      </c>
      <c r="B30" s="77"/>
      <c r="C30" s="76">
        <v>46084</v>
      </c>
      <c r="D30" s="77"/>
      <c r="E30" s="77" t="s">
        <v>15</v>
      </c>
      <c r="F30" s="98" t="s">
        <v>408</v>
      </c>
      <c r="G30" s="77" t="s">
        <v>12</v>
      </c>
      <c r="H30" s="78">
        <v>43.401000000000003</v>
      </c>
      <c r="I30" s="79"/>
      <c r="J30" s="79">
        <v>294.69</v>
      </c>
      <c r="K30" s="79"/>
      <c r="L30" s="99" t="s">
        <v>409</v>
      </c>
      <c r="M30" s="77"/>
    </row>
    <row r="31" spans="1:13" ht="15" customHeight="1" x14ac:dyDescent="0.25">
      <c r="A31" s="75" t="s">
        <v>169</v>
      </c>
      <c r="B31" s="77"/>
      <c r="C31" s="76">
        <v>46083</v>
      </c>
      <c r="D31" s="77"/>
      <c r="E31" s="77" t="s">
        <v>15</v>
      </c>
      <c r="F31" s="98" t="s">
        <v>408</v>
      </c>
      <c r="G31" s="77" t="s">
        <v>11</v>
      </c>
      <c r="H31" s="78">
        <v>414.44099999999997</v>
      </c>
      <c r="I31" s="79"/>
      <c r="J31" s="79">
        <v>2441.0500000000002</v>
      </c>
      <c r="K31" s="79"/>
      <c r="L31" s="99" t="s">
        <v>409</v>
      </c>
      <c r="M31" s="77"/>
    </row>
    <row r="32" spans="1:13" ht="15" customHeight="1" x14ac:dyDescent="0.25">
      <c r="A32" s="75" t="s">
        <v>169</v>
      </c>
      <c r="B32" s="77"/>
      <c r="C32" s="76">
        <v>46083</v>
      </c>
      <c r="D32" s="77"/>
      <c r="E32" s="77" t="s">
        <v>15</v>
      </c>
      <c r="F32" s="98" t="s">
        <v>408</v>
      </c>
      <c r="G32" s="77" t="s">
        <v>12</v>
      </c>
      <c r="H32" s="78">
        <v>52.311</v>
      </c>
      <c r="I32" s="79"/>
      <c r="J32" s="79">
        <v>355.19</v>
      </c>
      <c r="K32" s="79"/>
      <c r="L32" s="99" t="s">
        <v>409</v>
      </c>
      <c r="M32" s="77"/>
    </row>
    <row r="33" spans="1:13" ht="15" customHeight="1" x14ac:dyDescent="0.25">
      <c r="A33" s="75" t="s">
        <v>169</v>
      </c>
      <c r="B33" s="77"/>
      <c r="C33" s="76">
        <v>46081</v>
      </c>
      <c r="D33" s="77"/>
      <c r="E33" s="77" t="s">
        <v>15</v>
      </c>
      <c r="F33" s="98" t="s">
        <v>408</v>
      </c>
      <c r="G33" s="77" t="s">
        <v>11</v>
      </c>
      <c r="H33" s="78">
        <v>281.81</v>
      </c>
      <c r="I33" s="79"/>
      <c r="J33" s="79">
        <v>1659.86</v>
      </c>
      <c r="K33" s="79"/>
      <c r="L33" s="99" t="s">
        <v>409</v>
      </c>
      <c r="M33" s="77"/>
    </row>
    <row r="34" spans="1:13" ht="15" customHeight="1" x14ac:dyDescent="0.25">
      <c r="A34" s="75" t="s">
        <v>169</v>
      </c>
      <c r="B34" s="77"/>
      <c r="C34" s="76">
        <v>46081</v>
      </c>
      <c r="D34" s="77"/>
      <c r="E34" s="77" t="s">
        <v>15</v>
      </c>
      <c r="F34" s="98" t="s">
        <v>408</v>
      </c>
      <c r="G34" s="77" t="s">
        <v>6</v>
      </c>
      <c r="H34" s="78">
        <v>20.440000000000001</v>
      </c>
      <c r="I34" s="79"/>
      <c r="J34" s="79">
        <v>64.209999999999994</v>
      </c>
      <c r="K34" s="79"/>
      <c r="L34" s="99" t="s">
        <v>409</v>
      </c>
      <c r="M34" s="77"/>
    </row>
    <row r="35" spans="1:13" ht="15" customHeight="1" x14ac:dyDescent="0.25">
      <c r="A35" s="75" t="s">
        <v>169</v>
      </c>
      <c r="B35" s="77"/>
      <c r="C35" s="76">
        <v>46081</v>
      </c>
      <c r="D35" s="77"/>
      <c r="E35" s="77" t="s">
        <v>15</v>
      </c>
      <c r="F35" s="98" t="s">
        <v>408</v>
      </c>
      <c r="G35" s="77" t="s">
        <v>10</v>
      </c>
      <c r="H35" s="78">
        <v>384.56</v>
      </c>
      <c r="I35" s="79"/>
      <c r="J35" s="79">
        <v>2303.5100000000002</v>
      </c>
      <c r="K35" s="79"/>
      <c r="L35" s="99" t="s">
        <v>409</v>
      </c>
      <c r="M35" s="77"/>
    </row>
    <row r="36" spans="1:13" ht="15" customHeight="1" x14ac:dyDescent="0.25">
      <c r="A36" s="75" t="s">
        <v>169</v>
      </c>
      <c r="B36" s="77"/>
      <c r="C36" s="76">
        <v>46081</v>
      </c>
      <c r="D36" s="77"/>
      <c r="E36" s="77" t="s">
        <v>15</v>
      </c>
      <c r="F36" s="98" t="s">
        <v>408</v>
      </c>
      <c r="G36" s="77" t="s">
        <v>6</v>
      </c>
      <c r="H36" s="78">
        <v>25.28</v>
      </c>
      <c r="I36" s="79"/>
      <c r="J36" s="79">
        <v>79.41</v>
      </c>
      <c r="K36" s="79"/>
      <c r="L36" s="99" t="s">
        <v>409</v>
      </c>
      <c r="M36" s="77"/>
    </row>
    <row r="37" spans="1:13" ht="15" customHeight="1" x14ac:dyDescent="0.25">
      <c r="A37" s="75" t="s">
        <v>169</v>
      </c>
      <c r="B37" s="77"/>
      <c r="C37" s="76">
        <v>46081</v>
      </c>
      <c r="D37" s="77"/>
      <c r="E37" s="77" t="s">
        <v>15</v>
      </c>
      <c r="F37" s="98" t="s">
        <v>408</v>
      </c>
      <c r="G37" s="77" t="s">
        <v>10</v>
      </c>
      <c r="H37" s="78">
        <v>518.61</v>
      </c>
      <c r="I37" s="79"/>
      <c r="J37" s="79">
        <v>3106.47</v>
      </c>
      <c r="K37" s="79"/>
      <c r="L37" s="99" t="s">
        <v>409</v>
      </c>
      <c r="M37" s="77"/>
    </row>
    <row r="38" spans="1:13" ht="15" customHeight="1" x14ac:dyDescent="0.25">
      <c r="A38" s="75" t="s">
        <v>169</v>
      </c>
      <c r="B38" s="77"/>
      <c r="C38" s="76">
        <v>46081</v>
      </c>
      <c r="D38" s="77"/>
      <c r="E38" s="77" t="s">
        <v>15</v>
      </c>
      <c r="F38" s="98" t="s">
        <v>408</v>
      </c>
      <c r="G38" s="77" t="s">
        <v>6</v>
      </c>
      <c r="H38" s="78">
        <v>3.15</v>
      </c>
      <c r="I38" s="79"/>
      <c r="J38" s="79">
        <v>9.89</v>
      </c>
      <c r="K38" s="79"/>
      <c r="L38" s="99" t="s">
        <v>409</v>
      </c>
      <c r="M38" s="77"/>
    </row>
    <row r="39" spans="1:13" ht="15" customHeight="1" x14ac:dyDescent="0.25">
      <c r="A39" s="75" t="s">
        <v>169</v>
      </c>
      <c r="B39" s="77"/>
      <c r="C39" s="76">
        <v>46081</v>
      </c>
      <c r="D39" s="77"/>
      <c r="E39" s="77" t="s">
        <v>15</v>
      </c>
      <c r="F39" s="98" t="s">
        <v>408</v>
      </c>
      <c r="G39" s="77" t="s">
        <v>10</v>
      </c>
      <c r="H39" s="78">
        <v>218.291</v>
      </c>
      <c r="I39" s="79"/>
      <c r="J39" s="79">
        <v>1307.56</v>
      </c>
      <c r="K39" s="79"/>
      <c r="L39" s="99" t="s">
        <v>409</v>
      </c>
      <c r="M39" s="77"/>
    </row>
    <row r="40" spans="1:13" ht="15" customHeight="1" x14ac:dyDescent="0.25">
      <c r="A40" s="75" t="s">
        <v>169</v>
      </c>
      <c r="B40" s="77"/>
      <c r="C40" s="76">
        <v>46080</v>
      </c>
      <c r="D40" s="77"/>
      <c r="E40" s="77" t="s">
        <v>15</v>
      </c>
      <c r="F40" s="98" t="s">
        <v>408</v>
      </c>
      <c r="G40" s="77" t="s">
        <v>6</v>
      </c>
      <c r="H40" s="78">
        <v>31.83</v>
      </c>
      <c r="I40" s="79"/>
      <c r="J40" s="79">
        <v>99.98</v>
      </c>
      <c r="K40" s="79"/>
      <c r="L40" s="99" t="s">
        <v>409</v>
      </c>
      <c r="M40" s="77"/>
    </row>
    <row r="41" spans="1:13" ht="15" customHeight="1" x14ac:dyDescent="0.25">
      <c r="A41" s="75" t="s">
        <v>169</v>
      </c>
      <c r="B41" s="77"/>
      <c r="C41" s="76">
        <v>46080</v>
      </c>
      <c r="D41" s="77"/>
      <c r="E41" s="77" t="s">
        <v>15</v>
      </c>
      <c r="F41" s="98" t="s">
        <v>408</v>
      </c>
      <c r="G41" s="77" t="s">
        <v>10</v>
      </c>
      <c r="H41" s="78">
        <v>492.86099999999999</v>
      </c>
      <c r="I41" s="79"/>
      <c r="J41" s="79">
        <v>2952.23</v>
      </c>
      <c r="K41" s="79"/>
      <c r="L41" s="99" t="s">
        <v>409</v>
      </c>
      <c r="M41" s="77"/>
    </row>
    <row r="42" spans="1:13" ht="15" customHeight="1" x14ac:dyDescent="0.25">
      <c r="A42" s="75" t="s">
        <v>169</v>
      </c>
      <c r="B42" s="77"/>
      <c r="C42" s="76">
        <v>46080</v>
      </c>
      <c r="D42" s="77"/>
      <c r="E42" s="77" t="s">
        <v>15</v>
      </c>
      <c r="F42" s="98" t="s">
        <v>408</v>
      </c>
      <c r="G42" s="77" t="s">
        <v>6</v>
      </c>
      <c r="H42" s="78">
        <v>10.27</v>
      </c>
      <c r="I42" s="79"/>
      <c r="J42" s="79">
        <v>32.26</v>
      </c>
      <c r="K42" s="79"/>
      <c r="L42" s="99" t="s">
        <v>409</v>
      </c>
      <c r="M42" s="77"/>
    </row>
    <row r="43" spans="1:13" ht="15" customHeight="1" x14ac:dyDescent="0.25">
      <c r="A43" s="75" t="s">
        <v>169</v>
      </c>
      <c r="B43" s="77"/>
      <c r="C43" s="76">
        <v>46080</v>
      </c>
      <c r="D43" s="77"/>
      <c r="E43" s="77" t="s">
        <v>15</v>
      </c>
      <c r="F43" s="98" t="s">
        <v>408</v>
      </c>
      <c r="G43" s="77" t="s">
        <v>10</v>
      </c>
      <c r="H43" s="78">
        <v>252.191</v>
      </c>
      <c r="I43" s="79"/>
      <c r="J43" s="79">
        <v>1510.62</v>
      </c>
      <c r="K43" s="79"/>
      <c r="L43" s="99" t="s">
        <v>409</v>
      </c>
      <c r="M43" s="77"/>
    </row>
    <row r="44" spans="1:13" ht="15" customHeight="1" x14ac:dyDescent="0.25">
      <c r="A44" s="75" t="s">
        <v>169</v>
      </c>
      <c r="B44" s="77"/>
      <c r="C44" s="76">
        <v>46080</v>
      </c>
      <c r="D44" s="77"/>
      <c r="E44" s="77" t="s">
        <v>15</v>
      </c>
      <c r="F44" s="98" t="s">
        <v>408</v>
      </c>
      <c r="G44" s="77" t="s">
        <v>10</v>
      </c>
      <c r="H44" s="78">
        <v>492</v>
      </c>
      <c r="I44" s="79"/>
      <c r="J44" s="79">
        <v>2947.08</v>
      </c>
      <c r="K44" s="79"/>
      <c r="L44" s="99" t="s">
        <v>409</v>
      </c>
      <c r="M44" s="77"/>
    </row>
    <row r="45" spans="1:13" ht="15" customHeight="1" x14ac:dyDescent="0.25">
      <c r="A45" s="75" t="s">
        <v>169</v>
      </c>
      <c r="B45" s="77"/>
      <c r="C45" s="76">
        <v>46080</v>
      </c>
      <c r="D45" s="77"/>
      <c r="E45" s="77" t="s">
        <v>15</v>
      </c>
      <c r="F45" s="98" t="s">
        <v>408</v>
      </c>
      <c r="G45" s="77" t="s">
        <v>10</v>
      </c>
      <c r="H45" s="78">
        <v>209.28100000000001</v>
      </c>
      <c r="I45" s="79"/>
      <c r="J45" s="79">
        <v>1253.5899999999999</v>
      </c>
      <c r="K45" s="79"/>
      <c r="L45" s="99" t="s">
        <v>409</v>
      </c>
      <c r="M45" s="77"/>
    </row>
    <row r="46" spans="1:13" ht="15" customHeight="1" x14ac:dyDescent="0.25">
      <c r="A46" s="75" t="s">
        <v>169</v>
      </c>
      <c r="B46" s="77"/>
      <c r="C46" s="76">
        <v>46079</v>
      </c>
      <c r="D46" s="77"/>
      <c r="E46" s="77" t="s">
        <v>15</v>
      </c>
      <c r="F46" s="98" t="s">
        <v>408</v>
      </c>
      <c r="G46" s="77" t="s">
        <v>11</v>
      </c>
      <c r="H46" s="78">
        <v>261.42099999999999</v>
      </c>
      <c r="I46" s="79"/>
      <c r="J46" s="79">
        <v>1539.76</v>
      </c>
      <c r="K46" s="79"/>
      <c r="L46" s="99" t="s">
        <v>409</v>
      </c>
      <c r="M46" s="77"/>
    </row>
    <row r="47" spans="1:13" ht="15" customHeight="1" x14ac:dyDescent="0.25">
      <c r="A47" s="75" t="s">
        <v>169</v>
      </c>
      <c r="B47" s="77"/>
      <c r="C47" s="76">
        <v>46079</v>
      </c>
      <c r="D47" s="77"/>
      <c r="E47" s="77" t="s">
        <v>15</v>
      </c>
      <c r="F47" s="98" t="s">
        <v>408</v>
      </c>
      <c r="G47" s="77" t="s">
        <v>10</v>
      </c>
      <c r="H47" s="78">
        <v>458.28100000000001</v>
      </c>
      <c r="I47" s="79"/>
      <c r="J47" s="79">
        <v>2745.1</v>
      </c>
      <c r="K47" s="79"/>
      <c r="L47" s="99" t="s">
        <v>409</v>
      </c>
      <c r="M47" s="77"/>
    </row>
    <row r="48" spans="1:13" ht="15" customHeight="1" x14ac:dyDescent="0.25">
      <c r="A48" s="75" t="s">
        <v>169</v>
      </c>
      <c r="B48" s="77"/>
      <c r="C48" s="76">
        <v>46078</v>
      </c>
      <c r="D48" s="77"/>
      <c r="E48" s="77" t="s">
        <v>15</v>
      </c>
      <c r="F48" s="98" t="s">
        <v>408</v>
      </c>
      <c r="G48" s="77" t="s">
        <v>10</v>
      </c>
      <c r="H48" s="78">
        <v>115.871</v>
      </c>
      <c r="I48" s="79"/>
      <c r="J48" s="79">
        <v>694.06</v>
      </c>
      <c r="K48" s="79"/>
      <c r="L48" s="99" t="s">
        <v>409</v>
      </c>
      <c r="M48" s="77"/>
    </row>
    <row r="49" spans="1:13" ht="15" customHeight="1" x14ac:dyDescent="0.25">
      <c r="A49" s="75" t="s">
        <v>169</v>
      </c>
      <c r="B49" s="77"/>
      <c r="C49" s="76">
        <v>46078</v>
      </c>
      <c r="D49" s="77"/>
      <c r="E49" s="77" t="s">
        <v>15</v>
      </c>
      <c r="F49" s="98" t="s">
        <v>408</v>
      </c>
      <c r="G49" s="77" t="s">
        <v>6</v>
      </c>
      <c r="H49" s="78">
        <v>18.559999999999999</v>
      </c>
      <c r="I49" s="79"/>
      <c r="J49" s="79">
        <v>58.29</v>
      </c>
      <c r="K49" s="79"/>
      <c r="L49" s="99" t="s">
        <v>409</v>
      </c>
      <c r="M49" s="77"/>
    </row>
    <row r="50" spans="1:13" ht="15" customHeight="1" x14ac:dyDescent="0.25">
      <c r="A50" s="75" t="s">
        <v>169</v>
      </c>
      <c r="B50" s="77"/>
      <c r="C50" s="76">
        <v>46078</v>
      </c>
      <c r="D50" s="77"/>
      <c r="E50" s="77" t="s">
        <v>15</v>
      </c>
      <c r="F50" s="98" t="s">
        <v>408</v>
      </c>
      <c r="G50" s="77" t="s">
        <v>9</v>
      </c>
      <c r="H50" s="78">
        <v>60.210999999999999</v>
      </c>
      <c r="I50" s="79"/>
      <c r="J50" s="79">
        <v>354.64</v>
      </c>
      <c r="K50" s="79"/>
      <c r="L50" s="99" t="s">
        <v>409</v>
      </c>
      <c r="M50" s="77"/>
    </row>
    <row r="51" spans="1:13" ht="15" customHeight="1" x14ac:dyDescent="0.25">
      <c r="A51" s="75" t="s">
        <v>169</v>
      </c>
      <c r="B51" s="77"/>
      <c r="C51" s="76">
        <v>46078</v>
      </c>
      <c r="D51" s="77"/>
      <c r="E51" s="77" t="s">
        <v>15</v>
      </c>
      <c r="F51" s="98" t="s">
        <v>408</v>
      </c>
      <c r="G51" s="77" t="s">
        <v>12</v>
      </c>
      <c r="H51" s="78">
        <v>47.831000000000003</v>
      </c>
      <c r="I51" s="79"/>
      <c r="J51" s="79">
        <v>324.77</v>
      </c>
      <c r="K51" s="79"/>
      <c r="L51" s="99" t="s">
        <v>409</v>
      </c>
      <c r="M51" s="77"/>
    </row>
    <row r="52" spans="1:13" ht="15" customHeight="1" x14ac:dyDescent="0.25">
      <c r="A52" s="75" t="s">
        <v>169</v>
      </c>
      <c r="B52" s="77"/>
      <c r="C52" s="76">
        <v>46078</v>
      </c>
      <c r="D52" s="77"/>
      <c r="E52" s="77" t="s">
        <v>15</v>
      </c>
      <c r="F52" s="98" t="s">
        <v>408</v>
      </c>
      <c r="G52" s="77" t="s">
        <v>10</v>
      </c>
      <c r="H52" s="78">
        <v>237.12</v>
      </c>
      <c r="I52" s="79"/>
      <c r="J52" s="79">
        <v>1420.34</v>
      </c>
      <c r="K52" s="79"/>
      <c r="L52" s="99" t="s">
        <v>409</v>
      </c>
      <c r="M52" s="77"/>
    </row>
    <row r="53" spans="1:13" ht="15" customHeight="1" x14ac:dyDescent="0.25">
      <c r="A53" s="75" t="s">
        <v>169</v>
      </c>
      <c r="B53" s="77"/>
      <c r="C53" s="76">
        <v>46077</v>
      </c>
      <c r="D53" s="77"/>
      <c r="E53" s="77" t="s">
        <v>15</v>
      </c>
      <c r="F53" s="98" t="s">
        <v>408</v>
      </c>
      <c r="G53" s="77" t="s">
        <v>10</v>
      </c>
      <c r="H53" s="78">
        <v>302.33999999999997</v>
      </c>
      <c r="I53" s="79"/>
      <c r="J53" s="79">
        <v>1811.01</v>
      </c>
      <c r="K53" s="79"/>
      <c r="L53" s="99" t="s">
        <v>409</v>
      </c>
      <c r="M53" s="77"/>
    </row>
    <row r="54" spans="1:13" ht="15" customHeight="1" x14ac:dyDescent="0.25">
      <c r="A54" s="75" t="s">
        <v>169</v>
      </c>
      <c r="B54" s="77"/>
      <c r="C54" s="76">
        <v>46077</v>
      </c>
      <c r="D54" s="77"/>
      <c r="E54" s="77" t="s">
        <v>15</v>
      </c>
      <c r="F54" s="98" t="s">
        <v>408</v>
      </c>
      <c r="G54" s="77" t="s">
        <v>12</v>
      </c>
      <c r="H54" s="78">
        <v>42.18</v>
      </c>
      <c r="I54" s="79"/>
      <c r="J54" s="79">
        <v>286.39999999999998</v>
      </c>
      <c r="K54" s="79"/>
      <c r="L54" s="99" t="s">
        <v>409</v>
      </c>
      <c r="M54" s="77"/>
    </row>
    <row r="55" spans="1:13" ht="15" customHeight="1" x14ac:dyDescent="0.25">
      <c r="A55" s="75" t="s">
        <v>169</v>
      </c>
      <c r="B55" s="77"/>
      <c r="C55" s="76">
        <v>46077</v>
      </c>
      <c r="D55" s="77"/>
      <c r="E55" s="77" t="s">
        <v>15</v>
      </c>
      <c r="F55" s="98" t="s">
        <v>408</v>
      </c>
      <c r="G55" s="77" t="s">
        <v>12</v>
      </c>
      <c r="H55" s="78">
        <v>35.460999999999999</v>
      </c>
      <c r="I55" s="79"/>
      <c r="J55" s="79">
        <v>240.78</v>
      </c>
      <c r="K55" s="79"/>
      <c r="L55" s="99" t="s">
        <v>409</v>
      </c>
      <c r="M55" s="77"/>
    </row>
    <row r="56" spans="1:13" ht="15" customHeight="1" x14ac:dyDescent="0.25">
      <c r="A56" s="75" t="s">
        <v>169</v>
      </c>
      <c r="B56" s="77"/>
      <c r="C56" s="76">
        <v>46074</v>
      </c>
      <c r="D56" s="77"/>
      <c r="E56" s="77" t="s">
        <v>15</v>
      </c>
      <c r="F56" s="98" t="s">
        <v>408</v>
      </c>
      <c r="G56" s="77" t="s">
        <v>10</v>
      </c>
      <c r="H56" s="78">
        <v>420.53100000000001</v>
      </c>
      <c r="I56" s="79"/>
      <c r="J56" s="79">
        <v>2518.98</v>
      </c>
      <c r="K56" s="79"/>
      <c r="L56" s="99" t="s">
        <v>409</v>
      </c>
      <c r="M56" s="77"/>
    </row>
    <row r="57" spans="1:13" ht="15" customHeight="1" x14ac:dyDescent="0.25">
      <c r="A57" s="75" t="s">
        <v>169</v>
      </c>
      <c r="B57" s="77"/>
      <c r="C57" s="76">
        <v>46074</v>
      </c>
      <c r="D57" s="77"/>
      <c r="E57" s="77" t="s">
        <v>15</v>
      </c>
      <c r="F57" s="98" t="s">
        <v>408</v>
      </c>
      <c r="G57" s="77" t="s">
        <v>10</v>
      </c>
      <c r="H57" s="78">
        <v>205.23</v>
      </c>
      <c r="I57" s="79"/>
      <c r="J57" s="79">
        <v>1229.32</v>
      </c>
      <c r="K57" s="79"/>
      <c r="L57" s="99" t="s">
        <v>409</v>
      </c>
      <c r="M57" s="77"/>
    </row>
    <row r="58" spans="1:13" ht="15" customHeight="1" x14ac:dyDescent="0.25">
      <c r="A58" s="75" t="s">
        <v>169</v>
      </c>
      <c r="B58" s="77"/>
      <c r="C58" s="76">
        <v>46073</v>
      </c>
      <c r="D58" s="77"/>
      <c r="E58" s="77" t="s">
        <v>15</v>
      </c>
      <c r="F58" s="98" t="s">
        <v>408</v>
      </c>
      <c r="G58" s="77" t="s">
        <v>12</v>
      </c>
      <c r="H58" s="78">
        <v>36.36</v>
      </c>
      <c r="I58" s="79"/>
      <c r="J58" s="79">
        <v>246.88</v>
      </c>
      <c r="K58" s="79"/>
      <c r="L58" s="99" t="s">
        <v>409</v>
      </c>
      <c r="M58" s="77"/>
    </row>
    <row r="59" spans="1:13" ht="15" customHeight="1" x14ac:dyDescent="0.25">
      <c r="A59" s="75" t="s">
        <v>169</v>
      </c>
      <c r="B59" s="77"/>
      <c r="C59" s="76">
        <v>46073</v>
      </c>
      <c r="D59" s="77"/>
      <c r="E59" s="77" t="s">
        <v>15</v>
      </c>
      <c r="F59" s="98" t="s">
        <v>408</v>
      </c>
      <c r="G59" s="77" t="s">
        <v>10</v>
      </c>
      <c r="H59" s="78">
        <v>295.27</v>
      </c>
      <c r="I59" s="79"/>
      <c r="J59" s="79">
        <v>1768.66</v>
      </c>
      <c r="K59" s="79"/>
      <c r="L59" s="99" t="s">
        <v>409</v>
      </c>
      <c r="M59" s="77"/>
    </row>
    <row r="60" spans="1:13" ht="15" customHeight="1" x14ac:dyDescent="0.25">
      <c r="A60" s="75" t="s">
        <v>169</v>
      </c>
      <c r="B60" s="77"/>
      <c r="C60" s="76">
        <v>46072</v>
      </c>
      <c r="D60" s="77"/>
      <c r="E60" s="77" t="s">
        <v>23</v>
      </c>
      <c r="F60" s="98" t="s">
        <v>408</v>
      </c>
      <c r="G60" s="77" t="s">
        <v>10</v>
      </c>
      <c r="H60" s="78">
        <v>200</v>
      </c>
      <c r="I60" s="79"/>
      <c r="J60" s="79">
        <v>1144</v>
      </c>
      <c r="K60" s="79"/>
      <c r="L60" s="99" t="s">
        <v>409</v>
      </c>
      <c r="M60" s="77"/>
    </row>
    <row r="61" spans="1:13" ht="15" customHeight="1" x14ac:dyDescent="0.25">
      <c r="A61" s="75" t="s">
        <v>169</v>
      </c>
      <c r="B61" s="77"/>
      <c r="C61" s="76">
        <v>46071</v>
      </c>
      <c r="D61" s="77"/>
      <c r="E61" s="77" t="s">
        <v>15</v>
      </c>
      <c r="F61" s="98" t="s">
        <v>408</v>
      </c>
      <c r="G61" s="77" t="s">
        <v>12</v>
      </c>
      <c r="H61" s="78">
        <v>41.761000000000003</v>
      </c>
      <c r="I61" s="79"/>
      <c r="J61" s="79">
        <v>283.55</v>
      </c>
      <c r="K61" s="79"/>
      <c r="L61" s="99" t="s">
        <v>409</v>
      </c>
      <c r="M61" s="77"/>
    </row>
    <row r="62" spans="1:13" ht="15" customHeight="1" x14ac:dyDescent="0.25">
      <c r="A62" s="75" t="s">
        <v>169</v>
      </c>
      <c r="B62" s="77"/>
      <c r="C62" s="76">
        <v>46071</v>
      </c>
      <c r="D62" s="77"/>
      <c r="E62" s="77" t="s">
        <v>15</v>
      </c>
      <c r="F62" s="98" t="s">
        <v>408</v>
      </c>
      <c r="G62" s="77" t="s">
        <v>10</v>
      </c>
      <c r="H62" s="78">
        <v>273.93</v>
      </c>
      <c r="I62" s="79"/>
      <c r="J62" s="79">
        <v>1640.84</v>
      </c>
      <c r="K62" s="79"/>
      <c r="L62" s="99" t="s">
        <v>409</v>
      </c>
      <c r="M62" s="77"/>
    </row>
    <row r="63" spans="1:13" ht="15" customHeight="1" x14ac:dyDescent="0.25">
      <c r="A63" s="75" t="s">
        <v>169</v>
      </c>
      <c r="B63" s="77"/>
      <c r="C63" s="76">
        <v>46071</v>
      </c>
      <c r="D63" s="77"/>
      <c r="E63" s="77" t="s">
        <v>15</v>
      </c>
      <c r="F63" s="98" t="s">
        <v>408</v>
      </c>
      <c r="G63" s="77" t="s">
        <v>12</v>
      </c>
      <c r="H63" s="78">
        <v>48.481000000000002</v>
      </c>
      <c r="I63" s="79"/>
      <c r="J63" s="79">
        <v>329.18</v>
      </c>
      <c r="K63" s="79"/>
      <c r="L63" s="99" t="s">
        <v>409</v>
      </c>
      <c r="M63" s="77"/>
    </row>
    <row r="64" spans="1:13" ht="15" customHeight="1" x14ac:dyDescent="0.25">
      <c r="A64" s="75" t="s">
        <v>169</v>
      </c>
      <c r="B64" s="77"/>
      <c r="C64" s="76">
        <v>46069</v>
      </c>
      <c r="D64" s="77"/>
      <c r="E64" s="77" t="s">
        <v>15</v>
      </c>
      <c r="F64" s="98" t="s">
        <v>408</v>
      </c>
      <c r="G64" s="77" t="s">
        <v>10</v>
      </c>
      <c r="H64" s="78">
        <v>217.49</v>
      </c>
      <c r="I64" s="79"/>
      <c r="J64" s="79">
        <v>1302.76</v>
      </c>
      <c r="K64" s="79"/>
      <c r="L64" s="99" t="s">
        <v>409</v>
      </c>
      <c r="M64" s="77"/>
    </row>
    <row r="65" spans="1:13" ht="15" customHeight="1" x14ac:dyDescent="0.25">
      <c r="A65" s="75" t="s">
        <v>169</v>
      </c>
      <c r="B65" s="77"/>
      <c r="C65" s="76">
        <v>46067</v>
      </c>
      <c r="D65" s="77"/>
      <c r="E65" s="77" t="s">
        <v>15</v>
      </c>
      <c r="F65" s="98" t="s">
        <v>408</v>
      </c>
      <c r="G65" s="77" t="s">
        <v>10</v>
      </c>
      <c r="H65" s="78">
        <v>326.91000000000003</v>
      </c>
      <c r="I65" s="79"/>
      <c r="J65" s="79">
        <v>1958.19</v>
      </c>
      <c r="K65" s="79"/>
      <c r="L65" s="99" t="s">
        <v>409</v>
      </c>
      <c r="M65" s="77"/>
    </row>
    <row r="66" spans="1:13" ht="15" customHeight="1" x14ac:dyDescent="0.25">
      <c r="A66" s="75" t="s">
        <v>169</v>
      </c>
      <c r="B66" s="77"/>
      <c r="C66" s="76">
        <v>46067</v>
      </c>
      <c r="D66" s="77"/>
      <c r="E66" s="77" t="s">
        <v>15</v>
      </c>
      <c r="F66" s="98" t="s">
        <v>408</v>
      </c>
      <c r="G66" s="77" t="s">
        <v>11</v>
      </c>
      <c r="H66" s="78">
        <v>359.75</v>
      </c>
      <c r="I66" s="79"/>
      <c r="J66" s="79">
        <v>2118.92</v>
      </c>
      <c r="K66" s="79"/>
      <c r="L66" s="99" t="s">
        <v>409</v>
      </c>
      <c r="M66" s="77"/>
    </row>
    <row r="67" spans="1:13" ht="15" customHeight="1" x14ac:dyDescent="0.25">
      <c r="A67" s="75" t="s">
        <v>169</v>
      </c>
      <c r="B67" s="77"/>
      <c r="C67" s="76">
        <v>46066</v>
      </c>
      <c r="D67" s="77"/>
      <c r="E67" s="77" t="s">
        <v>15</v>
      </c>
      <c r="F67" s="98" t="s">
        <v>408</v>
      </c>
      <c r="G67" s="77" t="s">
        <v>12</v>
      </c>
      <c r="H67" s="78">
        <v>43.131</v>
      </c>
      <c r="I67" s="79"/>
      <c r="J67" s="79">
        <v>292.85000000000002</v>
      </c>
      <c r="K67" s="79"/>
      <c r="L67" s="99" t="s">
        <v>409</v>
      </c>
      <c r="M67" s="77"/>
    </row>
    <row r="68" spans="1:13" ht="15" customHeight="1" x14ac:dyDescent="0.25">
      <c r="A68" s="75" t="s">
        <v>169</v>
      </c>
      <c r="B68" s="77"/>
      <c r="C68" s="76">
        <v>46066</v>
      </c>
      <c r="D68" s="77"/>
      <c r="E68" s="77" t="s">
        <v>15</v>
      </c>
      <c r="F68" s="98" t="s">
        <v>408</v>
      </c>
      <c r="G68" s="77" t="s">
        <v>11</v>
      </c>
      <c r="H68" s="78">
        <v>333.59</v>
      </c>
      <c r="I68" s="79"/>
      <c r="J68" s="79">
        <v>1964.84</v>
      </c>
      <c r="K68" s="79"/>
      <c r="L68" s="99" t="s">
        <v>409</v>
      </c>
      <c r="M68" s="77"/>
    </row>
    <row r="69" spans="1:13" ht="15" customHeight="1" x14ac:dyDescent="0.25">
      <c r="A69" s="75" t="s">
        <v>169</v>
      </c>
      <c r="B69" s="77"/>
      <c r="C69" s="76">
        <v>46065</v>
      </c>
      <c r="D69" s="77"/>
      <c r="E69" s="77" t="s">
        <v>15</v>
      </c>
      <c r="F69" s="98" t="s">
        <v>408</v>
      </c>
      <c r="G69" s="77" t="s">
        <v>10</v>
      </c>
      <c r="H69" s="78">
        <v>302</v>
      </c>
      <c r="I69" s="79"/>
      <c r="J69" s="79">
        <v>1808.98</v>
      </c>
      <c r="K69" s="79"/>
      <c r="L69" s="99" t="s">
        <v>409</v>
      </c>
      <c r="M69" s="77"/>
    </row>
    <row r="70" spans="1:13" ht="15" customHeight="1" x14ac:dyDescent="0.25">
      <c r="A70" s="75" t="s">
        <v>169</v>
      </c>
      <c r="B70" s="77"/>
      <c r="C70" s="76">
        <v>46065</v>
      </c>
      <c r="D70" s="77"/>
      <c r="E70" s="77" t="s">
        <v>15</v>
      </c>
      <c r="F70" s="98" t="s">
        <v>408</v>
      </c>
      <c r="G70" s="77" t="s">
        <v>11</v>
      </c>
      <c r="H70" s="78">
        <v>252.97</v>
      </c>
      <c r="I70" s="79"/>
      <c r="J70" s="79">
        <v>1489.99</v>
      </c>
      <c r="K70" s="79"/>
      <c r="L70" s="99" t="s">
        <v>409</v>
      </c>
      <c r="M70" s="77"/>
    </row>
    <row r="71" spans="1:13" ht="15" customHeight="1" x14ac:dyDescent="0.25">
      <c r="A71" s="75" t="s">
        <v>169</v>
      </c>
      <c r="B71" s="77"/>
      <c r="C71" s="76">
        <v>46064</v>
      </c>
      <c r="D71" s="77"/>
      <c r="E71" s="77" t="s">
        <v>15</v>
      </c>
      <c r="F71" s="98" t="s">
        <v>408</v>
      </c>
      <c r="G71" s="77" t="s">
        <v>6</v>
      </c>
      <c r="H71" s="78">
        <v>22.5</v>
      </c>
      <c r="I71" s="79"/>
      <c r="J71" s="79">
        <v>70.680000000000007</v>
      </c>
      <c r="K71" s="79"/>
      <c r="L71" s="99" t="s">
        <v>409</v>
      </c>
      <c r="M71" s="77"/>
    </row>
    <row r="72" spans="1:13" ht="15" customHeight="1" x14ac:dyDescent="0.25">
      <c r="A72" s="75" t="s">
        <v>169</v>
      </c>
      <c r="B72" s="77"/>
      <c r="C72" s="76">
        <v>46064</v>
      </c>
      <c r="D72" s="77"/>
      <c r="E72" s="77" t="s">
        <v>15</v>
      </c>
      <c r="F72" s="98" t="s">
        <v>408</v>
      </c>
      <c r="G72" s="77" t="s">
        <v>10</v>
      </c>
      <c r="H72" s="78">
        <v>242.01</v>
      </c>
      <c r="I72" s="79"/>
      <c r="J72" s="79">
        <v>1449.63</v>
      </c>
      <c r="K72" s="79"/>
      <c r="L72" s="99" t="s">
        <v>409</v>
      </c>
      <c r="M72" s="77"/>
    </row>
    <row r="73" spans="1:13" ht="15" customHeight="1" x14ac:dyDescent="0.25">
      <c r="A73" s="75" t="s">
        <v>169</v>
      </c>
      <c r="B73" s="77"/>
      <c r="C73" s="76">
        <v>46064</v>
      </c>
      <c r="D73" s="77"/>
      <c r="E73" s="77" t="s">
        <v>15</v>
      </c>
      <c r="F73" s="98" t="s">
        <v>408</v>
      </c>
      <c r="G73" s="77" t="s">
        <v>12</v>
      </c>
      <c r="H73" s="78">
        <v>40.25</v>
      </c>
      <c r="I73" s="79"/>
      <c r="J73" s="79">
        <v>273.29000000000002</v>
      </c>
      <c r="K73" s="79"/>
      <c r="L73" s="99" t="s">
        <v>409</v>
      </c>
      <c r="M73" s="77"/>
    </row>
    <row r="74" spans="1:13" ht="15" customHeight="1" x14ac:dyDescent="0.25">
      <c r="A74" s="75" t="s">
        <v>169</v>
      </c>
      <c r="B74" s="77"/>
      <c r="C74" s="76">
        <v>46064</v>
      </c>
      <c r="D74" s="77"/>
      <c r="E74" s="77" t="s">
        <v>15</v>
      </c>
      <c r="F74" s="98" t="s">
        <v>408</v>
      </c>
      <c r="G74" s="77" t="s">
        <v>11</v>
      </c>
      <c r="H74" s="78">
        <v>381</v>
      </c>
      <c r="I74" s="79"/>
      <c r="J74" s="79">
        <v>2244.09</v>
      </c>
      <c r="K74" s="79"/>
      <c r="L74" s="99" t="s">
        <v>409</v>
      </c>
      <c r="M74" s="77"/>
    </row>
    <row r="75" spans="1:13" ht="15" customHeight="1" x14ac:dyDescent="0.25">
      <c r="A75" s="75" t="s">
        <v>169</v>
      </c>
      <c r="B75" s="77"/>
      <c r="C75" s="76">
        <v>46064</v>
      </c>
      <c r="D75" s="77"/>
      <c r="E75" s="77" t="s">
        <v>15</v>
      </c>
      <c r="F75" s="98" t="s">
        <v>408</v>
      </c>
      <c r="G75" s="77" t="s">
        <v>11</v>
      </c>
      <c r="H75" s="78">
        <v>380.52</v>
      </c>
      <c r="I75" s="79"/>
      <c r="J75" s="79">
        <v>2241.2600000000002</v>
      </c>
      <c r="K75" s="79"/>
      <c r="L75" s="99" t="s">
        <v>409</v>
      </c>
      <c r="M75" s="77"/>
    </row>
    <row r="76" spans="1:13" ht="15" customHeight="1" x14ac:dyDescent="0.25">
      <c r="A76" s="75" t="s">
        <v>169</v>
      </c>
      <c r="B76" s="77"/>
      <c r="C76" s="76">
        <v>46064</v>
      </c>
      <c r="D76" s="77"/>
      <c r="E76" s="77" t="s">
        <v>15</v>
      </c>
      <c r="F76" s="98" t="s">
        <v>408</v>
      </c>
      <c r="G76" s="77" t="s">
        <v>12</v>
      </c>
      <c r="H76" s="78">
        <v>52.021000000000001</v>
      </c>
      <c r="I76" s="79"/>
      <c r="J76" s="79">
        <v>353.22</v>
      </c>
      <c r="K76" s="79"/>
      <c r="L76" s="99" t="s">
        <v>409</v>
      </c>
      <c r="M76" s="77"/>
    </row>
    <row r="77" spans="1:13" ht="15" customHeight="1" x14ac:dyDescent="0.25">
      <c r="A77" s="75" t="s">
        <v>169</v>
      </c>
      <c r="B77" s="77"/>
      <c r="C77" s="76">
        <v>46063</v>
      </c>
      <c r="D77" s="77"/>
      <c r="E77" s="77" t="s">
        <v>18</v>
      </c>
      <c r="F77" s="98" t="s">
        <v>408</v>
      </c>
      <c r="G77" s="77" t="s">
        <v>10</v>
      </c>
      <c r="H77" s="78">
        <v>350</v>
      </c>
      <c r="I77" s="79"/>
      <c r="J77" s="79">
        <v>2033.5</v>
      </c>
      <c r="K77" s="79"/>
      <c r="L77" s="99" t="s">
        <v>409</v>
      </c>
      <c r="M77" s="77"/>
    </row>
    <row r="78" spans="1:13" ht="15" customHeight="1" x14ac:dyDescent="0.25">
      <c r="A78" s="75" t="s">
        <v>169</v>
      </c>
      <c r="B78" s="77"/>
      <c r="C78" s="76">
        <v>46063</v>
      </c>
      <c r="D78" s="77"/>
      <c r="E78" s="77" t="s">
        <v>15</v>
      </c>
      <c r="F78" s="98" t="s">
        <v>408</v>
      </c>
      <c r="G78" s="77" t="s">
        <v>6</v>
      </c>
      <c r="H78" s="78">
        <v>24.07</v>
      </c>
      <c r="I78" s="79"/>
      <c r="J78" s="79">
        <v>75.599999999999994</v>
      </c>
      <c r="K78" s="79"/>
      <c r="L78" s="99" t="s">
        <v>409</v>
      </c>
      <c r="M78" s="77"/>
    </row>
    <row r="79" spans="1:13" ht="15" customHeight="1" x14ac:dyDescent="0.25">
      <c r="A79" s="75" t="s">
        <v>169</v>
      </c>
      <c r="B79" s="77"/>
      <c r="C79" s="76">
        <v>46063</v>
      </c>
      <c r="D79" s="77"/>
      <c r="E79" s="77" t="s">
        <v>15</v>
      </c>
      <c r="F79" s="98" t="s">
        <v>408</v>
      </c>
      <c r="G79" s="77" t="s">
        <v>10</v>
      </c>
      <c r="H79" s="78">
        <v>385.33100000000002</v>
      </c>
      <c r="I79" s="79"/>
      <c r="J79" s="79">
        <v>2308.13</v>
      </c>
      <c r="K79" s="79"/>
      <c r="L79" s="99" t="s">
        <v>409</v>
      </c>
      <c r="M79" s="77"/>
    </row>
    <row r="80" spans="1:13" ht="15" customHeight="1" x14ac:dyDescent="0.25">
      <c r="A80" s="75" t="s">
        <v>169</v>
      </c>
      <c r="B80" s="77"/>
      <c r="C80" s="76">
        <v>46062</v>
      </c>
      <c r="D80" s="77"/>
      <c r="E80" s="77" t="s">
        <v>15</v>
      </c>
      <c r="F80" s="98" t="s">
        <v>408</v>
      </c>
      <c r="G80" s="77" t="s">
        <v>12</v>
      </c>
      <c r="H80" s="78">
        <v>41.07</v>
      </c>
      <c r="I80" s="79"/>
      <c r="J80" s="79">
        <v>278.86</v>
      </c>
      <c r="K80" s="79"/>
      <c r="L80" s="99" t="s">
        <v>409</v>
      </c>
      <c r="M80" s="77"/>
    </row>
    <row r="81" spans="1:13" ht="15" customHeight="1" x14ac:dyDescent="0.25">
      <c r="A81" s="75" t="s">
        <v>169</v>
      </c>
      <c r="B81" s="77"/>
      <c r="C81" s="76">
        <v>46062</v>
      </c>
      <c r="D81" s="77"/>
      <c r="E81" s="77" t="s">
        <v>15</v>
      </c>
      <c r="F81" s="98" t="s">
        <v>408</v>
      </c>
      <c r="G81" s="77" t="s">
        <v>12</v>
      </c>
      <c r="H81" s="78">
        <v>48.210999999999999</v>
      </c>
      <c r="I81" s="79"/>
      <c r="J81" s="79">
        <v>327.35000000000002</v>
      </c>
      <c r="K81" s="79"/>
      <c r="L81" s="99" t="s">
        <v>409</v>
      </c>
      <c r="M81" s="77"/>
    </row>
    <row r="82" spans="1:13" ht="15" customHeight="1" x14ac:dyDescent="0.25">
      <c r="A82" s="75" t="s">
        <v>169</v>
      </c>
      <c r="B82" s="77"/>
      <c r="C82" s="76">
        <v>46062</v>
      </c>
      <c r="D82" s="77"/>
      <c r="E82" s="77" t="s">
        <v>15</v>
      </c>
      <c r="F82" s="98" t="s">
        <v>408</v>
      </c>
      <c r="G82" s="77" t="s">
        <v>12</v>
      </c>
      <c r="H82" s="78">
        <v>25</v>
      </c>
      <c r="I82" s="79"/>
      <c r="J82" s="79">
        <v>172.25</v>
      </c>
      <c r="K82" s="79"/>
      <c r="L82" s="99" t="s">
        <v>409</v>
      </c>
      <c r="M82" s="77"/>
    </row>
    <row r="83" spans="1:13" ht="15" customHeight="1" x14ac:dyDescent="0.25">
      <c r="A83" s="75" t="s">
        <v>169</v>
      </c>
      <c r="B83" s="77"/>
      <c r="C83" s="76">
        <v>46062</v>
      </c>
      <c r="D83" s="77"/>
      <c r="E83" s="77" t="s">
        <v>15</v>
      </c>
      <c r="F83" s="98" t="s">
        <v>408</v>
      </c>
      <c r="G83" s="77" t="s">
        <v>11</v>
      </c>
      <c r="H83" s="78">
        <v>76.301000000000002</v>
      </c>
      <c r="I83" s="79"/>
      <c r="J83" s="79">
        <v>449.41</v>
      </c>
      <c r="K83" s="79"/>
      <c r="L83" s="99" t="s">
        <v>409</v>
      </c>
      <c r="M83" s="77"/>
    </row>
    <row r="84" spans="1:13" ht="15" customHeight="1" x14ac:dyDescent="0.25">
      <c r="A84" s="75" t="s">
        <v>169</v>
      </c>
      <c r="B84" s="77"/>
      <c r="C84" s="76">
        <v>46060</v>
      </c>
      <c r="D84" s="77"/>
      <c r="E84" s="77" t="s">
        <v>18</v>
      </c>
      <c r="F84" s="98" t="s">
        <v>408</v>
      </c>
      <c r="G84" s="77" t="s">
        <v>11</v>
      </c>
      <c r="H84" s="78">
        <v>340.41</v>
      </c>
      <c r="I84" s="79"/>
      <c r="J84" s="79">
        <v>1930.12</v>
      </c>
      <c r="K84" s="79"/>
      <c r="L84" s="99" t="s">
        <v>409</v>
      </c>
      <c r="M84" s="77"/>
    </row>
    <row r="85" spans="1:13" ht="15" customHeight="1" x14ac:dyDescent="0.25">
      <c r="A85" s="75" t="s">
        <v>169</v>
      </c>
      <c r="B85" s="77"/>
      <c r="C85" s="76">
        <v>46060</v>
      </c>
      <c r="D85" s="77"/>
      <c r="E85" s="77" t="s">
        <v>18</v>
      </c>
      <c r="F85" s="98" t="s">
        <v>408</v>
      </c>
      <c r="G85" s="77" t="s">
        <v>10</v>
      </c>
      <c r="H85" s="78">
        <v>301</v>
      </c>
      <c r="I85" s="79"/>
      <c r="J85" s="79">
        <v>1748.81</v>
      </c>
      <c r="K85" s="79"/>
      <c r="L85" s="99" t="s">
        <v>409</v>
      </c>
      <c r="M85" s="77"/>
    </row>
    <row r="86" spans="1:13" ht="15" customHeight="1" x14ac:dyDescent="0.25">
      <c r="A86" s="75" t="s">
        <v>169</v>
      </c>
      <c r="B86" s="77"/>
      <c r="C86" s="76">
        <v>46060</v>
      </c>
      <c r="D86" s="77"/>
      <c r="E86" s="77" t="s">
        <v>15</v>
      </c>
      <c r="F86" s="98" t="s">
        <v>408</v>
      </c>
      <c r="G86" s="77" t="s">
        <v>10</v>
      </c>
      <c r="H86" s="78">
        <v>300.30099999999999</v>
      </c>
      <c r="I86" s="79"/>
      <c r="J86" s="79">
        <v>1798.8</v>
      </c>
      <c r="K86" s="79"/>
      <c r="L86" s="99" t="s">
        <v>409</v>
      </c>
      <c r="M86" s="77"/>
    </row>
    <row r="87" spans="1:13" ht="15" customHeight="1" x14ac:dyDescent="0.25">
      <c r="A87" s="75" t="s">
        <v>169</v>
      </c>
      <c r="B87" s="77"/>
      <c r="C87" s="76">
        <v>46060</v>
      </c>
      <c r="D87" s="77"/>
      <c r="E87" s="77" t="s">
        <v>15</v>
      </c>
      <c r="F87" s="98" t="s">
        <v>408</v>
      </c>
      <c r="G87" s="77" t="s">
        <v>6</v>
      </c>
      <c r="H87" s="78">
        <v>26.31</v>
      </c>
      <c r="I87" s="79"/>
      <c r="J87" s="79">
        <v>82.64</v>
      </c>
      <c r="K87" s="79"/>
      <c r="L87" s="99" t="s">
        <v>409</v>
      </c>
      <c r="M87" s="77"/>
    </row>
    <row r="88" spans="1:13" ht="15" customHeight="1" x14ac:dyDescent="0.25">
      <c r="A88" s="75" t="s">
        <v>169</v>
      </c>
      <c r="B88" s="77"/>
      <c r="C88" s="76">
        <v>46060</v>
      </c>
      <c r="D88" s="77"/>
      <c r="E88" s="77" t="s">
        <v>15</v>
      </c>
      <c r="F88" s="98" t="s">
        <v>408</v>
      </c>
      <c r="G88" s="77" t="s">
        <v>11</v>
      </c>
      <c r="H88" s="78">
        <v>483</v>
      </c>
      <c r="I88" s="79"/>
      <c r="J88" s="79">
        <v>2844.87</v>
      </c>
      <c r="K88" s="79"/>
      <c r="L88" s="99" t="s">
        <v>409</v>
      </c>
      <c r="M88" s="77"/>
    </row>
    <row r="89" spans="1:13" ht="15" customHeight="1" x14ac:dyDescent="0.25">
      <c r="A89" s="75" t="s">
        <v>169</v>
      </c>
      <c r="B89" s="77"/>
      <c r="C89" s="76">
        <v>46060</v>
      </c>
      <c r="D89" s="77"/>
      <c r="E89" s="77" t="s">
        <v>15</v>
      </c>
      <c r="F89" s="98" t="s">
        <v>408</v>
      </c>
      <c r="G89" s="77" t="s">
        <v>6</v>
      </c>
      <c r="H89" s="78">
        <v>5.57</v>
      </c>
      <c r="I89" s="79"/>
      <c r="J89" s="79">
        <v>17.5</v>
      </c>
      <c r="K89" s="79"/>
      <c r="L89" s="99" t="s">
        <v>409</v>
      </c>
      <c r="M89" s="77"/>
    </row>
    <row r="90" spans="1:13" ht="15" customHeight="1" x14ac:dyDescent="0.25">
      <c r="A90" s="75" t="s">
        <v>169</v>
      </c>
      <c r="B90" s="77"/>
      <c r="C90" s="76">
        <v>46060</v>
      </c>
      <c r="D90" s="77"/>
      <c r="E90" s="77" t="s">
        <v>15</v>
      </c>
      <c r="F90" s="98" t="s">
        <v>408</v>
      </c>
      <c r="G90" s="77" t="s">
        <v>10</v>
      </c>
      <c r="H90" s="78">
        <v>252.61</v>
      </c>
      <c r="I90" s="79"/>
      <c r="J90" s="79">
        <v>1513.13</v>
      </c>
      <c r="K90" s="79"/>
      <c r="L90" s="99" t="s">
        <v>409</v>
      </c>
      <c r="M90" s="77"/>
    </row>
    <row r="91" spans="1:13" ht="15" customHeight="1" x14ac:dyDescent="0.25">
      <c r="A91" s="75" t="s">
        <v>169</v>
      </c>
      <c r="B91" s="77"/>
      <c r="C91" s="76">
        <v>46059</v>
      </c>
      <c r="D91" s="77"/>
      <c r="E91" s="77" t="s">
        <v>15</v>
      </c>
      <c r="F91" s="98" t="s">
        <v>408</v>
      </c>
      <c r="G91" s="77" t="s">
        <v>10</v>
      </c>
      <c r="H91" s="78">
        <v>361.31099999999998</v>
      </c>
      <c r="I91" s="79"/>
      <c r="J91" s="79">
        <v>2164.25</v>
      </c>
      <c r="K91" s="79"/>
      <c r="L91" s="99" t="s">
        <v>409</v>
      </c>
      <c r="M91" s="77"/>
    </row>
    <row r="92" spans="1:13" ht="15" customHeight="1" x14ac:dyDescent="0.25">
      <c r="A92" s="75" t="s">
        <v>169</v>
      </c>
      <c r="B92" s="77"/>
      <c r="C92" s="76">
        <v>46059</v>
      </c>
      <c r="D92" s="77"/>
      <c r="E92" s="77" t="s">
        <v>15</v>
      </c>
      <c r="F92" s="98" t="s">
        <v>408</v>
      </c>
      <c r="G92" s="77" t="s">
        <v>6</v>
      </c>
      <c r="H92" s="78">
        <v>69.23</v>
      </c>
      <c r="I92" s="79"/>
      <c r="J92" s="79">
        <v>217.45</v>
      </c>
      <c r="K92" s="79"/>
      <c r="L92" s="99" t="s">
        <v>409</v>
      </c>
      <c r="M92" s="77"/>
    </row>
    <row r="93" spans="1:13" ht="15" customHeight="1" x14ac:dyDescent="0.25">
      <c r="A93" s="75" t="s">
        <v>169</v>
      </c>
      <c r="B93" s="77"/>
      <c r="C93" s="76">
        <v>46059</v>
      </c>
      <c r="D93" s="77"/>
      <c r="E93" s="77" t="s">
        <v>15</v>
      </c>
      <c r="F93" s="98" t="s">
        <v>408</v>
      </c>
      <c r="G93" s="77" t="s">
        <v>10</v>
      </c>
      <c r="H93" s="78">
        <v>362.12</v>
      </c>
      <c r="I93" s="79"/>
      <c r="J93" s="79">
        <v>2169.09</v>
      </c>
      <c r="K93" s="79"/>
      <c r="L93" s="99" t="s">
        <v>409</v>
      </c>
      <c r="M93" s="77"/>
    </row>
    <row r="94" spans="1:13" ht="15" customHeight="1" x14ac:dyDescent="0.25">
      <c r="A94" s="75" t="s">
        <v>169</v>
      </c>
      <c r="B94" s="77"/>
      <c r="C94" s="76">
        <v>46059</v>
      </c>
      <c r="D94" s="77"/>
      <c r="E94" s="77" t="s">
        <v>15</v>
      </c>
      <c r="F94" s="98" t="s">
        <v>408</v>
      </c>
      <c r="G94" s="77" t="s">
        <v>10</v>
      </c>
      <c r="H94" s="78">
        <v>60</v>
      </c>
      <c r="I94" s="79"/>
      <c r="J94" s="79">
        <v>359.4</v>
      </c>
      <c r="K94" s="79"/>
      <c r="L94" s="99" t="s">
        <v>409</v>
      </c>
      <c r="M94" s="77"/>
    </row>
    <row r="95" spans="1:13" ht="15" customHeight="1" x14ac:dyDescent="0.25">
      <c r="A95" s="75" t="s">
        <v>169</v>
      </c>
      <c r="B95" s="77"/>
      <c r="C95" s="76">
        <v>46059</v>
      </c>
      <c r="D95" s="77"/>
      <c r="E95" s="77" t="s">
        <v>15</v>
      </c>
      <c r="F95" s="98" t="s">
        <v>408</v>
      </c>
      <c r="G95" s="77" t="s">
        <v>12</v>
      </c>
      <c r="H95" s="78">
        <v>35.210999999999999</v>
      </c>
      <c r="I95" s="79"/>
      <c r="J95" s="79">
        <v>242.6</v>
      </c>
      <c r="K95" s="79"/>
      <c r="L95" s="99" t="s">
        <v>409</v>
      </c>
      <c r="M95" s="77"/>
    </row>
    <row r="96" spans="1:13" ht="15" customHeight="1" x14ac:dyDescent="0.25">
      <c r="A96" s="75" t="s">
        <v>169</v>
      </c>
      <c r="B96" s="77"/>
      <c r="C96" s="76">
        <v>46059</v>
      </c>
      <c r="D96" s="77"/>
      <c r="E96" s="77" t="s">
        <v>15</v>
      </c>
      <c r="F96" s="98" t="s">
        <v>408</v>
      </c>
      <c r="G96" s="77" t="s">
        <v>10</v>
      </c>
      <c r="H96" s="78">
        <v>470</v>
      </c>
      <c r="I96" s="79"/>
      <c r="J96" s="79">
        <v>2815.3</v>
      </c>
      <c r="K96" s="79"/>
      <c r="L96" s="99" t="s">
        <v>409</v>
      </c>
      <c r="M96" s="77"/>
    </row>
    <row r="97" spans="1:13" ht="15" customHeight="1" x14ac:dyDescent="0.25">
      <c r="A97" s="75" t="s">
        <v>169</v>
      </c>
      <c r="B97" s="77"/>
      <c r="C97" s="76">
        <v>46059</v>
      </c>
      <c r="D97" s="77"/>
      <c r="E97" s="77" t="s">
        <v>15</v>
      </c>
      <c r="F97" s="98" t="s">
        <v>408</v>
      </c>
      <c r="G97" s="77" t="s">
        <v>10</v>
      </c>
      <c r="H97" s="78">
        <v>348.36</v>
      </c>
      <c r="I97" s="79"/>
      <c r="J97" s="79">
        <v>2086.67</v>
      </c>
      <c r="K97" s="79"/>
      <c r="L97" s="99" t="s">
        <v>409</v>
      </c>
      <c r="M97" s="77"/>
    </row>
    <row r="98" spans="1:13" ht="15" customHeight="1" x14ac:dyDescent="0.25">
      <c r="A98" s="75" t="s">
        <v>169</v>
      </c>
      <c r="B98" s="77"/>
      <c r="C98" s="76">
        <v>46059</v>
      </c>
      <c r="D98" s="77"/>
      <c r="E98" s="77" t="s">
        <v>17</v>
      </c>
      <c r="F98" s="98" t="s">
        <v>408</v>
      </c>
      <c r="G98" s="77" t="s">
        <v>6</v>
      </c>
      <c r="H98" s="78">
        <v>31</v>
      </c>
      <c r="I98" s="79"/>
      <c r="J98" s="79">
        <v>114.39</v>
      </c>
      <c r="K98" s="79"/>
      <c r="L98" s="99" t="s">
        <v>409</v>
      </c>
      <c r="M98" s="77"/>
    </row>
    <row r="99" spans="1:13" ht="15" customHeight="1" x14ac:dyDescent="0.25">
      <c r="A99" s="75" t="s">
        <v>169</v>
      </c>
      <c r="B99" s="77"/>
      <c r="C99" s="76">
        <v>46059</v>
      </c>
      <c r="D99" s="77"/>
      <c r="E99" s="77" t="s">
        <v>15</v>
      </c>
      <c r="F99" s="98" t="s">
        <v>408</v>
      </c>
      <c r="G99" s="77" t="s">
        <v>6</v>
      </c>
      <c r="H99" s="78">
        <v>5.85</v>
      </c>
      <c r="I99" s="79"/>
      <c r="J99" s="79">
        <v>18.38</v>
      </c>
      <c r="K99" s="79"/>
      <c r="L99" s="99" t="s">
        <v>409</v>
      </c>
      <c r="M99" s="77"/>
    </row>
    <row r="100" spans="1:13" ht="15" customHeight="1" x14ac:dyDescent="0.25">
      <c r="A100" s="75" t="s">
        <v>169</v>
      </c>
      <c r="B100" s="77"/>
      <c r="C100" s="76">
        <v>46059</v>
      </c>
      <c r="D100" s="77"/>
      <c r="E100" s="77" t="s">
        <v>15</v>
      </c>
      <c r="F100" s="98" t="s">
        <v>408</v>
      </c>
      <c r="G100" s="77" t="s">
        <v>10</v>
      </c>
      <c r="H100" s="78">
        <v>157.81</v>
      </c>
      <c r="I100" s="79"/>
      <c r="J100" s="79">
        <v>945.28</v>
      </c>
      <c r="K100" s="79"/>
      <c r="L100" s="99" t="s">
        <v>409</v>
      </c>
      <c r="M100" s="77"/>
    </row>
    <row r="101" spans="1:13" ht="15" customHeight="1" x14ac:dyDescent="0.25">
      <c r="A101" s="75" t="s">
        <v>169</v>
      </c>
      <c r="B101" s="77"/>
      <c r="C101" s="76">
        <v>46058</v>
      </c>
      <c r="D101" s="77"/>
      <c r="E101" s="77" t="s">
        <v>15</v>
      </c>
      <c r="F101" s="98" t="s">
        <v>408</v>
      </c>
      <c r="G101" s="77" t="s">
        <v>10</v>
      </c>
      <c r="H101" s="78">
        <v>567.57000000000005</v>
      </c>
      <c r="I101" s="79"/>
      <c r="J101" s="79">
        <v>3399.74</v>
      </c>
      <c r="K101" s="79"/>
      <c r="L101" s="99" t="s">
        <v>409</v>
      </c>
      <c r="M101" s="77"/>
    </row>
    <row r="102" spans="1:13" ht="15" customHeight="1" x14ac:dyDescent="0.25">
      <c r="A102" s="75" t="s">
        <v>169</v>
      </c>
      <c r="B102" s="77"/>
      <c r="C102" s="76">
        <v>46057</v>
      </c>
      <c r="D102" s="77"/>
      <c r="E102" s="77" t="s">
        <v>15</v>
      </c>
      <c r="F102" s="98" t="s">
        <v>408</v>
      </c>
      <c r="G102" s="77" t="s">
        <v>10</v>
      </c>
      <c r="H102" s="78">
        <v>285.51100000000002</v>
      </c>
      <c r="I102" s="79"/>
      <c r="J102" s="79">
        <v>1710.21</v>
      </c>
      <c r="K102" s="79"/>
      <c r="L102" s="99" t="s">
        <v>409</v>
      </c>
      <c r="M102" s="77"/>
    </row>
    <row r="103" spans="1:13" ht="15" customHeight="1" x14ac:dyDescent="0.25">
      <c r="A103" s="75" t="s">
        <v>169</v>
      </c>
      <c r="B103" s="77"/>
      <c r="C103" s="76">
        <v>46057</v>
      </c>
      <c r="D103" s="77"/>
      <c r="E103" s="77" t="s">
        <v>15</v>
      </c>
      <c r="F103" s="98" t="s">
        <v>408</v>
      </c>
      <c r="G103" s="77" t="s">
        <v>11</v>
      </c>
      <c r="H103" s="78">
        <v>507.56</v>
      </c>
      <c r="I103" s="79"/>
      <c r="J103" s="79">
        <v>2989.52</v>
      </c>
      <c r="K103" s="79"/>
      <c r="L103" s="99" t="s">
        <v>409</v>
      </c>
      <c r="M103" s="77"/>
    </row>
    <row r="104" spans="1:13" ht="15" customHeight="1" x14ac:dyDescent="0.25">
      <c r="A104" s="75" t="s">
        <v>169</v>
      </c>
      <c r="B104" s="77"/>
      <c r="C104" s="76">
        <v>46057</v>
      </c>
      <c r="D104" s="77"/>
      <c r="E104" s="77" t="s">
        <v>15</v>
      </c>
      <c r="F104" s="98" t="s">
        <v>408</v>
      </c>
      <c r="G104" s="77" t="s">
        <v>12</v>
      </c>
      <c r="H104" s="78">
        <v>38.58</v>
      </c>
      <c r="I104" s="79"/>
      <c r="J104" s="79">
        <v>265.81</v>
      </c>
      <c r="K104" s="79"/>
      <c r="L104" s="99" t="s">
        <v>409</v>
      </c>
      <c r="M104" s="77"/>
    </row>
    <row r="105" spans="1:13" ht="15" customHeight="1" x14ac:dyDescent="0.25">
      <c r="A105" s="75" t="s">
        <v>169</v>
      </c>
      <c r="B105" s="77"/>
      <c r="C105" s="76">
        <v>46056</v>
      </c>
      <c r="D105" s="77"/>
      <c r="E105" s="77" t="s">
        <v>15</v>
      </c>
      <c r="F105" s="98" t="s">
        <v>408</v>
      </c>
      <c r="G105" s="77" t="s">
        <v>10</v>
      </c>
      <c r="H105" s="78">
        <v>395.21100000000001</v>
      </c>
      <c r="I105" s="79"/>
      <c r="J105" s="79">
        <v>2367.31</v>
      </c>
      <c r="K105" s="79"/>
      <c r="L105" s="99" t="s">
        <v>409</v>
      </c>
      <c r="M105" s="77"/>
    </row>
    <row r="106" spans="1:13" ht="15" customHeight="1" x14ac:dyDescent="0.25">
      <c r="A106" s="75" t="s">
        <v>169</v>
      </c>
      <c r="B106" s="77"/>
      <c r="C106" s="76">
        <v>46056</v>
      </c>
      <c r="D106" s="77"/>
      <c r="E106" s="77" t="s">
        <v>15</v>
      </c>
      <c r="F106" s="98" t="s">
        <v>408</v>
      </c>
      <c r="G106" s="77" t="s">
        <v>12</v>
      </c>
      <c r="H106" s="78">
        <v>50.341000000000001</v>
      </c>
      <c r="I106" s="79"/>
      <c r="J106" s="79">
        <v>346.84</v>
      </c>
      <c r="K106" s="79"/>
      <c r="L106" s="99" t="s">
        <v>409</v>
      </c>
      <c r="M106" s="77"/>
    </row>
    <row r="107" spans="1:13" ht="15" customHeight="1" x14ac:dyDescent="0.25">
      <c r="A107" s="75" t="s">
        <v>169</v>
      </c>
      <c r="B107" s="77"/>
      <c r="C107" s="76">
        <v>46056</v>
      </c>
      <c r="D107" s="77"/>
      <c r="E107" s="77" t="s">
        <v>15</v>
      </c>
      <c r="F107" s="98" t="s">
        <v>408</v>
      </c>
      <c r="G107" s="77" t="s">
        <v>6</v>
      </c>
      <c r="H107" s="78">
        <v>15.66</v>
      </c>
      <c r="I107" s="79"/>
      <c r="J107" s="79">
        <v>49.18</v>
      </c>
      <c r="K107" s="79"/>
      <c r="L107" s="99" t="s">
        <v>409</v>
      </c>
      <c r="M107" s="77"/>
    </row>
    <row r="108" spans="1:13" ht="15" customHeight="1" x14ac:dyDescent="0.25">
      <c r="A108" s="75" t="s">
        <v>169</v>
      </c>
      <c r="B108" s="77"/>
      <c r="C108" s="76">
        <v>46056</v>
      </c>
      <c r="D108" s="77"/>
      <c r="E108" s="77" t="s">
        <v>15</v>
      </c>
      <c r="F108" s="98" t="s">
        <v>408</v>
      </c>
      <c r="G108" s="77" t="s">
        <v>10</v>
      </c>
      <c r="H108" s="78">
        <v>299.95100000000002</v>
      </c>
      <c r="I108" s="79"/>
      <c r="J108" s="79">
        <v>1796.7</v>
      </c>
      <c r="K108" s="79"/>
      <c r="L108" s="99" t="s">
        <v>409</v>
      </c>
      <c r="M108" s="77"/>
    </row>
    <row r="109" spans="1:13" ht="15" customHeight="1" x14ac:dyDescent="0.25">
      <c r="A109" s="75" t="s">
        <v>169</v>
      </c>
      <c r="B109" s="77"/>
      <c r="C109" s="76">
        <v>46055</v>
      </c>
      <c r="D109" s="77"/>
      <c r="E109" s="77" t="s">
        <v>15</v>
      </c>
      <c r="F109" s="98" t="s">
        <v>408</v>
      </c>
      <c r="G109" s="77" t="s">
        <v>12</v>
      </c>
      <c r="H109" s="78">
        <v>51.320999999999998</v>
      </c>
      <c r="I109" s="79"/>
      <c r="J109" s="79">
        <v>353.6</v>
      </c>
      <c r="K109" s="79"/>
      <c r="L109" s="99" t="s">
        <v>409</v>
      </c>
      <c r="M109" s="77"/>
    </row>
    <row r="110" spans="1:13" ht="15" customHeight="1" x14ac:dyDescent="0.25">
      <c r="A110" s="75" t="s">
        <v>169</v>
      </c>
      <c r="B110" s="77"/>
      <c r="C110" s="76">
        <v>46054</v>
      </c>
      <c r="D110" s="77"/>
      <c r="E110" s="77" t="s">
        <v>15</v>
      </c>
      <c r="F110" s="98" t="s">
        <v>408</v>
      </c>
      <c r="G110" s="77" t="s">
        <v>12</v>
      </c>
      <c r="H110" s="78">
        <v>45.94</v>
      </c>
      <c r="I110" s="79"/>
      <c r="J110" s="79">
        <v>316.52</v>
      </c>
      <c r="K110" s="79"/>
      <c r="L110" s="99" t="s">
        <v>409</v>
      </c>
      <c r="M110" s="77"/>
    </row>
    <row r="111" spans="1:13" ht="15" customHeight="1" x14ac:dyDescent="0.25">
      <c r="A111" s="75" t="s">
        <v>169</v>
      </c>
      <c r="B111" s="77"/>
      <c r="C111" s="76">
        <v>46052</v>
      </c>
      <c r="D111" s="77"/>
      <c r="E111" s="77" t="s">
        <v>15</v>
      </c>
      <c r="F111" s="98" t="s">
        <v>408</v>
      </c>
      <c r="G111" s="77" t="s">
        <v>11</v>
      </c>
      <c r="H111" s="78">
        <v>362.37099999999998</v>
      </c>
      <c r="I111" s="79"/>
      <c r="J111" s="79">
        <v>2134.36</v>
      </c>
      <c r="K111" s="79"/>
      <c r="L111" s="99" t="s">
        <v>409</v>
      </c>
      <c r="M111" s="77"/>
    </row>
    <row r="112" spans="1:13" ht="15" customHeight="1" x14ac:dyDescent="0.25">
      <c r="A112" s="75" t="s">
        <v>169</v>
      </c>
      <c r="B112" s="77"/>
      <c r="C112" s="76">
        <v>46052</v>
      </c>
      <c r="D112" s="77"/>
      <c r="E112" s="77" t="s">
        <v>15</v>
      </c>
      <c r="F112" s="98" t="s">
        <v>408</v>
      </c>
      <c r="G112" s="77" t="s">
        <v>10</v>
      </c>
      <c r="H112" s="78">
        <v>254.82</v>
      </c>
      <c r="I112" s="79"/>
      <c r="J112" s="79">
        <v>1526.37</v>
      </c>
      <c r="K112" s="79"/>
      <c r="L112" s="99" t="s">
        <v>409</v>
      </c>
      <c r="M112" s="77"/>
    </row>
    <row r="113" spans="1:13" ht="15" customHeight="1" x14ac:dyDescent="0.25">
      <c r="A113" s="75" t="s">
        <v>169</v>
      </c>
      <c r="B113" s="77"/>
      <c r="C113" s="76">
        <v>46051</v>
      </c>
      <c r="D113" s="77"/>
      <c r="E113" s="77" t="s">
        <v>15</v>
      </c>
      <c r="F113" s="98" t="s">
        <v>408</v>
      </c>
      <c r="G113" s="77" t="s">
        <v>6</v>
      </c>
      <c r="H113" s="78">
        <v>1.1299999999999999</v>
      </c>
      <c r="I113" s="79"/>
      <c r="J113" s="79">
        <v>3.55</v>
      </c>
      <c r="K113" s="79"/>
      <c r="L113" s="99" t="s">
        <v>409</v>
      </c>
      <c r="M113" s="77"/>
    </row>
    <row r="114" spans="1:13" ht="15" customHeight="1" x14ac:dyDescent="0.25">
      <c r="A114" s="75" t="s">
        <v>169</v>
      </c>
      <c r="B114" s="77"/>
      <c r="C114" s="76">
        <v>46051</v>
      </c>
      <c r="D114" s="77"/>
      <c r="E114" s="77" t="s">
        <v>15</v>
      </c>
      <c r="F114" s="98" t="s">
        <v>408</v>
      </c>
      <c r="G114" s="77" t="s">
        <v>10</v>
      </c>
      <c r="H114" s="78">
        <v>459.26</v>
      </c>
      <c r="I114" s="79"/>
      <c r="J114" s="79">
        <v>2750.96</v>
      </c>
      <c r="K114" s="79"/>
      <c r="L114" s="99" t="s">
        <v>409</v>
      </c>
      <c r="M114" s="77"/>
    </row>
    <row r="115" spans="1:13" ht="15" customHeight="1" x14ac:dyDescent="0.25">
      <c r="A115" s="75" t="s">
        <v>169</v>
      </c>
      <c r="B115" s="77"/>
      <c r="C115" s="76">
        <v>46050</v>
      </c>
      <c r="D115" s="77"/>
      <c r="E115" s="77" t="s">
        <v>15</v>
      </c>
      <c r="F115" s="98" t="s">
        <v>408</v>
      </c>
      <c r="G115" s="77" t="s">
        <v>11</v>
      </c>
      <c r="H115" s="78">
        <v>191.99</v>
      </c>
      <c r="I115" s="79"/>
      <c r="J115" s="79">
        <v>1130.82</v>
      </c>
      <c r="K115" s="79"/>
      <c r="L115" s="99" t="s">
        <v>409</v>
      </c>
      <c r="M115" s="77"/>
    </row>
    <row r="116" spans="1:13" ht="15" customHeight="1" x14ac:dyDescent="0.25">
      <c r="A116" s="75" t="s">
        <v>169</v>
      </c>
      <c r="B116" s="77"/>
      <c r="C116" s="76">
        <v>46050</v>
      </c>
      <c r="D116" s="77"/>
      <c r="E116" s="77" t="s">
        <v>15</v>
      </c>
      <c r="F116" s="98" t="s">
        <v>408</v>
      </c>
      <c r="G116" s="77" t="s">
        <v>10</v>
      </c>
      <c r="H116" s="78">
        <v>490</v>
      </c>
      <c r="I116" s="79"/>
      <c r="J116" s="79">
        <v>2935.1</v>
      </c>
      <c r="K116" s="79"/>
      <c r="L116" s="99" t="s">
        <v>409</v>
      </c>
      <c r="M116" s="77"/>
    </row>
    <row r="117" spans="1:13" ht="15" customHeight="1" x14ac:dyDescent="0.25">
      <c r="A117" s="75" t="s">
        <v>169</v>
      </c>
      <c r="B117" s="77"/>
      <c r="C117" s="76">
        <v>46050</v>
      </c>
      <c r="D117" s="77"/>
      <c r="E117" s="77" t="s">
        <v>15</v>
      </c>
      <c r="F117" s="98" t="s">
        <v>408</v>
      </c>
      <c r="G117" s="77" t="s">
        <v>11</v>
      </c>
      <c r="H117" s="78">
        <v>272.76</v>
      </c>
      <c r="I117" s="79"/>
      <c r="J117" s="79">
        <v>1606.55</v>
      </c>
      <c r="K117" s="79"/>
      <c r="L117" s="99" t="s">
        <v>409</v>
      </c>
      <c r="M117" s="77"/>
    </row>
    <row r="118" spans="1:13" ht="15" customHeight="1" x14ac:dyDescent="0.25">
      <c r="A118" s="75" t="s">
        <v>169</v>
      </c>
      <c r="B118" s="77"/>
      <c r="C118" s="76">
        <v>46050</v>
      </c>
      <c r="D118" s="77"/>
      <c r="E118" s="77" t="s">
        <v>15</v>
      </c>
      <c r="F118" s="98" t="s">
        <v>408</v>
      </c>
      <c r="G118" s="77" t="s">
        <v>6</v>
      </c>
      <c r="H118" s="78">
        <v>13.52</v>
      </c>
      <c r="I118" s="79"/>
      <c r="J118" s="79">
        <v>42.46</v>
      </c>
      <c r="K118" s="79"/>
      <c r="L118" s="99" t="s">
        <v>409</v>
      </c>
      <c r="M118" s="77"/>
    </row>
    <row r="119" spans="1:13" ht="15" customHeight="1" x14ac:dyDescent="0.25">
      <c r="A119" s="75" t="s">
        <v>169</v>
      </c>
      <c r="B119" s="77"/>
      <c r="C119" s="76">
        <v>46050</v>
      </c>
      <c r="D119" s="77"/>
      <c r="E119" s="77" t="s">
        <v>15</v>
      </c>
      <c r="F119" s="98" t="s">
        <v>408</v>
      </c>
      <c r="G119" s="77" t="s">
        <v>10</v>
      </c>
      <c r="H119" s="78">
        <v>300.01</v>
      </c>
      <c r="I119" s="79"/>
      <c r="J119" s="79">
        <v>1797.05</v>
      </c>
      <c r="K119" s="79"/>
      <c r="L119" s="99" t="s">
        <v>409</v>
      </c>
      <c r="M119" s="77"/>
    </row>
    <row r="120" spans="1:13" ht="15" customHeight="1" x14ac:dyDescent="0.25">
      <c r="A120" s="75" t="s">
        <v>169</v>
      </c>
      <c r="B120" s="77"/>
      <c r="C120" s="76">
        <v>46050</v>
      </c>
      <c r="D120" s="77"/>
      <c r="E120" s="77" t="s">
        <v>15</v>
      </c>
      <c r="F120" s="98" t="s">
        <v>408</v>
      </c>
      <c r="G120" s="77" t="s">
        <v>10</v>
      </c>
      <c r="H120" s="78">
        <v>358.88099999999997</v>
      </c>
      <c r="I120" s="79"/>
      <c r="J120" s="79">
        <v>2149.69</v>
      </c>
      <c r="K120" s="79"/>
      <c r="L120" s="99" t="s">
        <v>409</v>
      </c>
      <c r="M120" s="77"/>
    </row>
    <row r="121" spans="1:13" ht="15" customHeight="1" x14ac:dyDescent="0.25">
      <c r="A121" s="75" t="s">
        <v>169</v>
      </c>
      <c r="B121" s="77"/>
      <c r="C121" s="76">
        <v>46050</v>
      </c>
      <c r="D121" s="77"/>
      <c r="E121" s="77" t="s">
        <v>15</v>
      </c>
      <c r="F121" s="98" t="s">
        <v>408</v>
      </c>
      <c r="G121" s="77" t="s">
        <v>11</v>
      </c>
      <c r="H121" s="78">
        <v>214.62100000000001</v>
      </c>
      <c r="I121" s="79"/>
      <c r="J121" s="79">
        <v>1264.1099999999999</v>
      </c>
      <c r="K121" s="79"/>
      <c r="L121" s="99" t="s">
        <v>409</v>
      </c>
      <c r="M121" s="77"/>
    </row>
    <row r="122" spans="1:13" ht="15" customHeight="1" x14ac:dyDescent="0.25">
      <c r="A122" s="75" t="s">
        <v>169</v>
      </c>
      <c r="B122" s="77"/>
      <c r="C122" s="76">
        <v>46050</v>
      </c>
      <c r="D122" s="77"/>
      <c r="E122" s="77" t="s">
        <v>15</v>
      </c>
      <c r="F122" s="98" t="s">
        <v>408</v>
      </c>
      <c r="G122" s="77" t="s">
        <v>10</v>
      </c>
      <c r="H122" s="78">
        <v>307.69</v>
      </c>
      <c r="I122" s="79"/>
      <c r="J122" s="79">
        <v>1843.06</v>
      </c>
      <c r="K122" s="79"/>
      <c r="L122" s="99" t="s">
        <v>409</v>
      </c>
      <c r="M122" s="77"/>
    </row>
    <row r="123" spans="1:13" ht="15" customHeight="1" x14ac:dyDescent="0.25">
      <c r="A123" s="75" t="s">
        <v>169</v>
      </c>
      <c r="B123" s="77"/>
      <c r="C123" s="76">
        <v>46049</v>
      </c>
      <c r="D123" s="77"/>
      <c r="E123" s="77" t="s">
        <v>15</v>
      </c>
      <c r="F123" s="98" t="s">
        <v>408</v>
      </c>
      <c r="G123" s="77" t="s">
        <v>11</v>
      </c>
      <c r="H123" s="78">
        <v>397.71</v>
      </c>
      <c r="I123" s="79"/>
      <c r="J123" s="79">
        <v>2342.5100000000002</v>
      </c>
      <c r="K123" s="79"/>
      <c r="L123" s="99" t="s">
        <v>409</v>
      </c>
      <c r="M123" s="77"/>
    </row>
    <row r="124" spans="1:13" ht="15" customHeight="1" x14ac:dyDescent="0.25">
      <c r="A124" s="75" t="s">
        <v>169</v>
      </c>
      <c r="B124" s="77"/>
      <c r="C124" s="76">
        <v>46049</v>
      </c>
      <c r="D124" s="77"/>
      <c r="E124" s="77" t="s">
        <v>15</v>
      </c>
      <c r="F124" s="98" t="s">
        <v>408</v>
      </c>
      <c r="G124" s="77" t="s">
        <v>11</v>
      </c>
      <c r="H124" s="78">
        <v>375.26100000000002</v>
      </c>
      <c r="I124" s="79"/>
      <c r="J124" s="79">
        <v>2210.2800000000002</v>
      </c>
      <c r="K124" s="79"/>
      <c r="L124" s="99" t="s">
        <v>409</v>
      </c>
      <c r="M124" s="77"/>
    </row>
    <row r="125" spans="1:13" ht="15" customHeight="1" x14ac:dyDescent="0.25">
      <c r="A125" s="75" t="s">
        <v>169</v>
      </c>
      <c r="B125" s="77"/>
      <c r="C125" s="76">
        <v>46049</v>
      </c>
      <c r="D125" s="77"/>
      <c r="E125" s="77" t="s">
        <v>15</v>
      </c>
      <c r="F125" s="98" t="s">
        <v>408</v>
      </c>
      <c r="G125" s="77" t="s">
        <v>6</v>
      </c>
      <c r="H125" s="78">
        <v>5.75</v>
      </c>
      <c r="I125" s="79"/>
      <c r="J125" s="79">
        <v>18.059999999999999</v>
      </c>
      <c r="K125" s="79"/>
      <c r="L125" s="99" t="s">
        <v>409</v>
      </c>
      <c r="M125" s="77"/>
    </row>
    <row r="126" spans="1:13" ht="15" customHeight="1" x14ac:dyDescent="0.25">
      <c r="A126" s="75" t="s">
        <v>169</v>
      </c>
      <c r="B126" s="77"/>
      <c r="C126" s="76">
        <v>46049</v>
      </c>
      <c r="D126" s="77"/>
      <c r="E126" s="77" t="s">
        <v>15</v>
      </c>
      <c r="F126" s="98" t="s">
        <v>408</v>
      </c>
      <c r="G126" s="77" t="s">
        <v>10</v>
      </c>
      <c r="H126" s="78">
        <v>425.84100000000001</v>
      </c>
      <c r="I126" s="79"/>
      <c r="J126" s="79">
        <v>2550.7800000000002</v>
      </c>
      <c r="K126" s="79"/>
      <c r="L126" s="99" t="s">
        <v>409</v>
      </c>
      <c r="M126" s="77"/>
    </row>
    <row r="127" spans="1:13" ht="15" customHeight="1" x14ac:dyDescent="0.25">
      <c r="A127" s="75" t="s">
        <v>169</v>
      </c>
      <c r="B127" s="77"/>
      <c r="C127" s="76">
        <v>46049</v>
      </c>
      <c r="D127" s="77"/>
      <c r="E127" s="77" t="s">
        <v>15</v>
      </c>
      <c r="F127" s="98" t="s">
        <v>408</v>
      </c>
      <c r="G127" s="77" t="s">
        <v>11</v>
      </c>
      <c r="H127" s="78">
        <v>328.71</v>
      </c>
      <c r="I127" s="79"/>
      <c r="J127" s="79">
        <v>1936.1</v>
      </c>
      <c r="K127" s="79"/>
      <c r="L127" s="99" t="s">
        <v>409</v>
      </c>
      <c r="M127" s="77"/>
    </row>
    <row r="128" spans="1:13" ht="15" customHeight="1" x14ac:dyDescent="0.25">
      <c r="A128" s="75" t="s">
        <v>169</v>
      </c>
      <c r="B128" s="77"/>
      <c r="C128" s="76">
        <v>46049</v>
      </c>
      <c r="D128" s="77"/>
      <c r="E128" s="77" t="s">
        <v>15</v>
      </c>
      <c r="F128" s="98" t="s">
        <v>408</v>
      </c>
      <c r="G128" s="77" t="s">
        <v>12</v>
      </c>
      <c r="H128" s="78">
        <v>47.011000000000003</v>
      </c>
      <c r="I128" s="79"/>
      <c r="J128" s="79">
        <v>323.89999999999998</v>
      </c>
      <c r="K128" s="79"/>
      <c r="L128" s="99" t="s">
        <v>409</v>
      </c>
      <c r="M128" s="77"/>
    </row>
    <row r="129" spans="1:13" ht="15" customHeight="1" x14ac:dyDescent="0.25">
      <c r="A129" s="75" t="s">
        <v>169</v>
      </c>
      <c r="B129" s="77"/>
      <c r="C129" s="76">
        <v>46049</v>
      </c>
      <c r="D129" s="77"/>
      <c r="E129" s="77" t="s">
        <v>15</v>
      </c>
      <c r="F129" s="98" t="s">
        <v>408</v>
      </c>
      <c r="G129" s="77" t="s">
        <v>6</v>
      </c>
      <c r="H129" s="78">
        <v>69.989999999999995</v>
      </c>
      <c r="I129" s="79"/>
      <c r="J129" s="79">
        <v>219.84</v>
      </c>
      <c r="K129" s="79"/>
      <c r="L129" s="99" t="s">
        <v>409</v>
      </c>
      <c r="M129" s="77"/>
    </row>
    <row r="130" spans="1:13" ht="15" customHeight="1" x14ac:dyDescent="0.25">
      <c r="A130" s="75" t="s">
        <v>169</v>
      </c>
      <c r="B130" s="77"/>
      <c r="C130" s="76">
        <v>46049</v>
      </c>
      <c r="D130" s="77"/>
      <c r="E130" s="77" t="s">
        <v>15</v>
      </c>
      <c r="F130" s="98" t="s">
        <v>408</v>
      </c>
      <c r="G130" s="77" t="s">
        <v>10</v>
      </c>
      <c r="H130" s="78">
        <v>497.851</v>
      </c>
      <c r="I130" s="79"/>
      <c r="J130" s="79">
        <v>2982.12</v>
      </c>
      <c r="K130" s="79"/>
      <c r="L130" s="99" t="s">
        <v>409</v>
      </c>
      <c r="M130" s="77"/>
    </row>
    <row r="131" spans="1:13" ht="15" customHeight="1" x14ac:dyDescent="0.25">
      <c r="A131" s="75" t="s">
        <v>169</v>
      </c>
      <c r="B131" s="77"/>
      <c r="C131" s="76">
        <v>46049</v>
      </c>
      <c r="D131" s="77"/>
      <c r="E131" s="77" t="s">
        <v>15</v>
      </c>
      <c r="F131" s="98" t="s">
        <v>408</v>
      </c>
      <c r="G131" s="77" t="s">
        <v>11</v>
      </c>
      <c r="H131" s="78">
        <v>308.57</v>
      </c>
      <c r="I131" s="79"/>
      <c r="J131" s="79">
        <v>1817.47</v>
      </c>
      <c r="K131" s="79"/>
      <c r="L131" s="99" t="s">
        <v>409</v>
      </c>
      <c r="M131" s="77"/>
    </row>
    <row r="132" spans="1:13" ht="15" customHeight="1" x14ac:dyDescent="0.25">
      <c r="A132" s="75" t="s">
        <v>169</v>
      </c>
      <c r="B132" s="77"/>
      <c r="C132" s="76">
        <v>46048</v>
      </c>
      <c r="D132" s="77"/>
      <c r="E132" s="77" t="s">
        <v>15</v>
      </c>
      <c r="F132" s="98" t="s">
        <v>408</v>
      </c>
      <c r="G132" s="77" t="s">
        <v>12</v>
      </c>
      <c r="H132" s="78">
        <v>38.401000000000003</v>
      </c>
      <c r="I132" s="79"/>
      <c r="J132" s="79">
        <v>264.58</v>
      </c>
      <c r="K132" s="79"/>
      <c r="L132" s="99" t="s">
        <v>409</v>
      </c>
      <c r="M132" s="77"/>
    </row>
    <row r="133" spans="1:13" ht="15" customHeight="1" x14ac:dyDescent="0.25">
      <c r="A133" s="75" t="s">
        <v>169</v>
      </c>
      <c r="B133" s="77"/>
      <c r="C133" s="76">
        <v>46048</v>
      </c>
      <c r="D133" s="77"/>
      <c r="E133" s="77" t="s">
        <v>15</v>
      </c>
      <c r="F133" s="98" t="s">
        <v>408</v>
      </c>
      <c r="G133" s="77" t="s">
        <v>10</v>
      </c>
      <c r="H133" s="78">
        <v>334.45</v>
      </c>
      <c r="I133" s="79"/>
      <c r="J133" s="79">
        <v>2003.35</v>
      </c>
      <c r="K133" s="79"/>
      <c r="L133" s="99" t="s">
        <v>409</v>
      </c>
      <c r="M133" s="77"/>
    </row>
    <row r="134" spans="1:13" ht="15" customHeight="1" x14ac:dyDescent="0.25">
      <c r="A134" s="75" t="s">
        <v>169</v>
      </c>
      <c r="B134" s="77"/>
      <c r="C134" s="76">
        <v>46048</v>
      </c>
      <c r="D134" s="77"/>
      <c r="E134" s="77" t="s">
        <v>15</v>
      </c>
      <c r="F134" s="98" t="s">
        <v>408</v>
      </c>
      <c r="G134" s="77" t="s">
        <v>10</v>
      </c>
      <c r="H134" s="78">
        <v>232.59</v>
      </c>
      <c r="I134" s="79"/>
      <c r="J134" s="79">
        <v>1393.21</v>
      </c>
      <c r="K134" s="79"/>
      <c r="L134" s="99" t="s">
        <v>409</v>
      </c>
      <c r="M134" s="77"/>
    </row>
    <row r="135" spans="1:13" ht="15" customHeight="1" x14ac:dyDescent="0.25">
      <c r="A135" s="75" t="s">
        <v>169</v>
      </c>
      <c r="B135" s="77"/>
      <c r="C135" s="76">
        <v>46046</v>
      </c>
      <c r="D135" s="77"/>
      <c r="E135" s="77" t="s">
        <v>15</v>
      </c>
      <c r="F135" s="98" t="s">
        <v>408</v>
      </c>
      <c r="G135" s="77" t="s">
        <v>11</v>
      </c>
      <c r="H135" s="78">
        <v>381.32100000000003</v>
      </c>
      <c r="I135" s="79"/>
      <c r="J135" s="79">
        <v>2245.98</v>
      </c>
      <c r="K135" s="79"/>
      <c r="L135" s="99" t="s">
        <v>409</v>
      </c>
      <c r="M135" s="77"/>
    </row>
    <row r="136" spans="1:13" ht="15" customHeight="1" x14ac:dyDescent="0.25">
      <c r="A136" s="75" t="s">
        <v>169</v>
      </c>
      <c r="B136" s="77"/>
      <c r="C136" s="76">
        <v>46046</v>
      </c>
      <c r="D136" s="77"/>
      <c r="E136" s="77" t="s">
        <v>15</v>
      </c>
      <c r="F136" s="98" t="s">
        <v>408</v>
      </c>
      <c r="G136" s="77" t="s">
        <v>10</v>
      </c>
      <c r="H136" s="78">
        <v>369.98099999999999</v>
      </c>
      <c r="I136" s="79"/>
      <c r="J136" s="79">
        <v>2216.1799999999998</v>
      </c>
      <c r="K136" s="79"/>
      <c r="L136" s="99" t="s">
        <v>409</v>
      </c>
      <c r="M136" s="77"/>
    </row>
    <row r="137" spans="1:13" ht="15" customHeight="1" x14ac:dyDescent="0.25">
      <c r="A137" s="75" t="s">
        <v>169</v>
      </c>
      <c r="B137" s="77"/>
      <c r="C137" s="76">
        <v>46045</v>
      </c>
      <c r="D137" s="77"/>
      <c r="E137" s="77" t="s">
        <v>15</v>
      </c>
      <c r="F137" s="98" t="s">
        <v>408</v>
      </c>
      <c r="G137" s="77" t="s">
        <v>10</v>
      </c>
      <c r="H137" s="78">
        <v>480</v>
      </c>
      <c r="I137" s="79"/>
      <c r="J137" s="79">
        <v>2875.2</v>
      </c>
      <c r="K137" s="79"/>
      <c r="L137" s="99" t="s">
        <v>409</v>
      </c>
      <c r="M137" s="77"/>
    </row>
    <row r="138" spans="1:13" ht="15" customHeight="1" x14ac:dyDescent="0.25">
      <c r="A138" s="75" t="s">
        <v>169</v>
      </c>
      <c r="B138" s="77"/>
      <c r="C138" s="76">
        <v>46045</v>
      </c>
      <c r="D138" s="77"/>
      <c r="E138" s="77" t="s">
        <v>15</v>
      </c>
      <c r="F138" s="98" t="s">
        <v>408</v>
      </c>
      <c r="G138" s="77" t="s">
        <v>12</v>
      </c>
      <c r="H138" s="78">
        <v>25.57</v>
      </c>
      <c r="I138" s="79"/>
      <c r="J138" s="79">
        <v>176.17</v>
      </c>
      <c r="K138" s="79"/>
      <c r="L138" s="99" t="s">
        <v>409</v>
      </c>
      <c r="M138" s="77"/>
    </row>
    <row r="139" spans="1:13" ht="15" customHeight="1" x14ac:dyDescent="0.25">
      <c r="A139" s="75" t="s">
        <v>169</v>
      </c>
      <c r="B139" s="77"/>
      <c r="C139" s="76">
        <v>46045</v>
      </c>
      <c r="D139" s="77"/>
      <c r="E139" s="77" t="s">
        <v>15</v>
      </c>
      <c r="F139" s="98" t="s">
        <v>408</v>
      </c>
      <c r="G139" s="77" t="s">
        <v>12</v>
      </c>
      <c r="H139" s="78">
        <v>45.78</v>
      </c>
      <c r="I139" s="79"/>
      <c r="J139" s="79">
        <v>315.42</v>
      </c>
      <c r="K139" s="79"/>
      <c r="L139" s="99" t="s">
        <v>409</v>
      </c>
      <c r="M139" s="77"/>
    </row>
    <row r="140" spans="1:13" ht="15" customHeight="1" x14ac:dyDescent="0.25">
      <c r="A140" s="75" t="s">
        <v>169</v>
      </c>
      <c r="B140" s="77"/>
      <c r="C140" s="76">
        <v>46045</v>
      </c>
      <c r="D140" s="77"/>
      <c r="E140" s="77" t="s">
        <v>15</v>
      </c>
      <c r="F140" s="98" t="s">
        <v>408</v>
      </c>
      <c r="G140" s="77" t="s">
        <v>10</v>
      </c>
      <c r="H140" s="78">
        <v>77.411000000000001</v>
      </c>
      <c r="I140" s="79"/>
      <c r="J140" s="79">
        <v>463.69</v>
      </c>
      <c r="K140" s="79"/>
      <c r="L140" s="99" t="s">
        <v>409</v>
      </c>
      <c r="M140" s="77"/>
    </row>
    <row r="141" spans="1:13" ht="15" customHeight="1" x14ac:dyDescent="0.25">
      <c r="A141" s="75" t="s">
        <v>169</v>
      </c>
      <c r="B141" s="77"/>
      <c r="C141" s="76">
        <v>46044</v>
      </c>
      <c r="D141" s="77"/>
      <c r="E141" s="77" t="s">
        <v>15</v>
      </c>
      <c r="F141" s="98" t="s">
        <v>408</v>
      </c>
      <c r="G141" s="77" t="s">
        <v>10</v>
      </c>
      <c r="H141" s="78">
        <v>486</v>
      </c>
      <c r="I141" s="79"/>
      <c r="J141" s="79">
        <v>2911.14</v>
      </c>
      <c r="K141" s="79"/>
      <c r="L141" s="99" t="s">
        <v>409</v>
      </c>
      <c r="M141" s="77"/>
    </row>
    <row r="142" spans="1:13" ht="15" customHeight="1" x14ac:dyDescent="0.25">
      <c r="A142" s="75" t="s">
        <v>169</v>
      </c>
      <c r="B142" s="77"/>
      <c r="C142" s="76">
        <v>46044</v>
      </c>
      <c r="D142" s="77"/>
      <c r="E142" s="77" t="s">
        <v>15</v>
      </c>
      <c r="F142" s="98" t="s">
        <v>408</v>
      </c>
      <c r="G142" s="77" t="s">
        <v>12</v>
      </c>
      <c r="H142" s="78">
        <v>37.6</v>
      </c>
      <c r="I142" s="79"/>
      <c r="J142" s="79">
        <v>259.06</v>
      </c>
      <c r="K142" s="79"/>
      <c r="L142" s="99" t="s">
        <v>409</v>
      </c>
      <c r="M142" s="77"/>
    </row>
    <row r="143" spans="1:13" ht="15" customHeight="1" x14ac:dyDescent="0.25">
      <c r="A143" s="75" t="s">
        <v>169</v>
      </c>
      <c r="B143" s="77"/>
      <c r="C143" s="76">
        <v>46043</v>
      </c>
      <c r="D143" s="77"/>
      <c r="E143" s="77" t="s">
        <v>15</v>
      </c>
      <c r="F143" s="98" t="s">
        <v>408</v>
      </c>
      <c r="G143" s="77" t="s">
        <v>12</v>
      </c>
      <c r="H143" s="78">
        <v>49.210999999999999</v>
      </c>
      <c r="I143" s="79"/>
      <c r="J143" s="79">
        <v>339.06</v>
      </c>
      <c r="K143" s="79"/>
      <c r="L143" s="99" t="s">
        <v>409</v>
      </c>
      <c r="M143" s="77"/>
    </row>
    <row r="144" spans="1:13" ht="15" customHeight="1" x14ac:dyDescent="0.25">
      <c r="A144" s="75" t="s">
        <v>169</v>
      </c>
      <c r="B144" s="77"/>
      <c r="C144" s="76">
        <v>46042</v>
      </c>
      <c r="D144" s="77"/>
      <c r="E144" s="77" t="s">
        <v>15</v>
      </c>
      <c r="F144" s="98" t="s">
        <v>408</v>
      </c>
      <c r="G144" s="77" t="s">
        <v>10</v>
      </c>
      <c r="H144" s="78">
        <v>367.33100000000002</v>
      </c>
      <c r="I144" s="79"/>
      <c r="J144" s="79">
        <v>2200.31</v>
      </c>
      <c r="K144" s="79"/>
      <c r="L144" s="99" t="s">
        <v>409</v>
      </c>
      <c r="M144" s="77"/>
    </row>
    <row r="145" spans="1:13" ht="15" customHeight="1" x14ac:dyDescent="0.25">
      <c r="A145" s="75" t="s">
        <v>169</v>
      </c>
      <c r="B145" s="77"/>
      <c r="C145" s="76">
        <v>46042</v>
      </c>
      <c r="D145" s="77"/>
      <c r="E145" s="77" t="s">
        <v>15</v>
      </c>
      <c r="F145" s="98" t="s">
        <v>408</v>
      </c>
      <c r="G145" s="77" t="s">
        <v>11</v>
      </c>
      <c r="H145" s="78">
        <v>477.21100000000001</v>
      </c>
      <c r="I145" s="79"/>
      <c r="J145" s="79">
        <v>2810.77</v>
      </c>
      <c r="K145" s="79"/>
      <c r="L145" s="99" t="s">
        <v>409</v>
      </c>
      <c r="M145" s="77"/>
    </row>
    <row r="146" spans="1:13" ht="15" customHeight="1" x14ac:dyDescent="0.25">
      <c r="A146" s="75" t="s">
        <v>169</v>
      </c>
      <c r="B146" s="77"/>
      <c r="C146" s="76">
        <v>46042</v>
      </c>
      <c r="D146" s="77"/>
      <c r="E146" s="77" t="s">
        <v>15</v>
      </c>
      <c r="F146" s="98" t="s">
        <v>408</v>
      </c>
      <c r="G146" s="77" t="s">
        <v>10</v>
      </c>
      <c r="H146" s="78">
        <v>392.08100000000002</v>
      </c>
      <c r="I146" s="79"/>
      <c r="J146" s="79">
        <v>2348.56</v>
      </c>
      <c r="K146" s="79"/>
      <c r="L146" s="99" t="s">
        <v>409</v>
      </c>
      <c r="M146" s="77"/>
    </row>
    <row r="147" spans="1:13" ht="15" customHeight="1" x14ac:dyDescent="0.25">
      <c r="A147" s="75" t="s">
        <v>169</v>
      </c>
      <c r="B147" s="77"/>
      <c r="C147" s="76">
        <v>46042</v>
      </c>
      <c r="D147" s="77"/>
      <c r="E147" s="77" t="s">
        <v>15</v>
      </c>
      <c r="F147" s="98" t="s">
        <v>408</v>
      </c>
      <c r="G147" s="77" t="s">
        <v>12</v>
      </c>
      <c r="H147" s="78">
        <v>39.131</v>
      </c>
      <c r="I147" s="79"/>
      <c r="J147" s="79">
        <v>269.61</v>
      </c>
      <c r="K147" s="79"/>
      <c r="L147" s="99" t="s">
        <v>409</v>
      </c>
      <c r="M147" s="77"/>
    </row>
    <row r="148" spans="1:13" ht="15" customHeight="1" x14ac:dyDescent="0.25">
      <c r="A148" s="75" t="s">
        <v>169</v>
      </c>
      <c r="B148" s="77"/>
      <c r="C148" s="76">
        <v>46042</v>
      </c>
      <c r="D148" s="77"/>
      <c r="E148" s="77" t="s">
        <v>15</v>
      </c>
      <c r="F148" s="98" t="s">
        <v>408</v>
      </c>
      <c r="G148" s="77" t="s">
        <v>11</v>
      </c>
      <c r="H148" s="78">
        <v>326.291</v>
      </c>
      <c r="I148" s="79"/>
      <c r="J148" s="79">
        <v>1921.85</v>
      </c>
      <c r="K148" s="79"/>
      <c r="L148" s="99" t="s">
        <v>409</v>
      </c>
      <c r="M148" s="77"/>
    </row>
    <row r="149" spans="1:13" ht="15" customHeight="1" x14ac:dyDescent="0.25">
      <c r="A149" s="75" t="s">
        <v>169</v>
      </c>
      <c r="B149" s="77"/>
      <c r="C149" s="76">
        <v>46041</v>
      </c>
      <c r="D149" s="77"/>
      <c r="E149" s="77" t="s">
        <v>15</v>
      </c>
      <c r="F149" s="98" t="s">
        <v>408</v>
      </c>
      <c r="G149" s="77" t="s">
        <v>11</v>
      </c>
      <c r="H149" s="78">
        <v>463.18099999999998</v>
      </c>
      <c r="I149" s="79"/>
      <c r="J149" s="79">
        <v>2728.13</v>
      </c>
      <c r="K149" s="79"/>
      <c r="L149" s="99" t="s">
        <v>409</v>
      </c>
      <c r="M149" s="77"/>
    </row>
    <row r="150" spans="1:13" ht="15" customHeight="1" x14ac:dyDescent="0.25">
      <c r="A150" s="75" t="s">
        <v>169</v>
      </c>
      <c r="B150" s="77"/>
      <c r="C150" s="76">
        <v>46039</v>
      </c>
      <c r="D150" s="77"/>
      <c r="E150" s="77" t="s">
        <v>15</v>
      </c>
      <c r="F150" s="98" t="s">
        <v>408</v>
      </c>
      <c r="G150" s="77" t="s">
        <v>12</v>
      </c>
      <c r="H150" s="78">
        <v>50.66</v>
      </c>
      <c r="I150" s="79"/>
      <c r="J150" s="79">
        <v>349.04</v>
      </c>
      <c r="K150" s="79"/>
      <c r="L150" s="99" t="s">
        <v>409</v>
      </c>
      <c r="M150" s="77"/>
    </row>
    <row r="151" spans="1:13" ht="15" customHeight="1" x14ac:dyDescent="0.25">
      <c r="A151" s="75" t="s">
        <v>169</v>
      </c>
      <c r="B151" s="77"/>
      <c r="C151" s="76">
        <v>46039</v>
      </c>
      <c r="D151" s="77"/>
      <c r="E151" s="77" t="s">
        <v>18</v>
      </c>
      <c r="F151" s="98" t="s">
        <v>408</v>
      </c>
      <c r="G151" s="77" t="s">
        <v>6</v>
      </c>
      <c r="H151" s="78">
        <v>29.2</v>
      </c>
      <c r="I151" s="79"/>
      <c r="J151" s="79">
        <v>104.83</v>
      </c>
      <c r="K151" s="79"/>
      <c r="L151" s="99" t="s">
        <v>409</v>
      </c>
      <c r="M151" s="77"/>
    </row>
    <row r="152" spans="1:13" ht="15" customHeight="1" x14ac:dyDescent="0.25">
      <c r="A152" s="75" t="s">
        <v>169</v>
      </c>
      <c r="B152" s="77"/>
      <c r="C152" s="76">
        <v>46039</v>
      </c>
      <c r="D152" s="77"/>
      <c r="E152" s="77" t="s">
        <v>18</v>
      </c>
      <c r="F152" s="98" t="s">
        <v>408</v>
      </c>
      <c r="G152" s="77" t="s">
        <v>10</v>
      </c>
      <c r="H152" s="78">
        <v>686</v>
      </c>
      <c r="I152" s="79"/>
      <c r="J152" s="79">
        <v>3985.66</v>
      </c>
      <c r="K152" s="79"/>
      <c r="L152" s="99" t="s">
        <v>409</v>
      </c>
      <c r="M152" s="77"/>
    </row>
    <row r="153" spans="1:13" ht="15" customHeight="1" x14ac:dyDescent="0.25">
      <c r="A153" s="75" t="s">
        <v>169</v>
      </c>
      <c r="B153" s="77"/>
      <c r="C153" s="76">
        <v>46038</v>
      </c>
      <c r="D153" s="77"/>
      <c r="E153" s="77" t="s">
        <v>18</v>
      </c>
      <c r="F153" s="98" t="s">
        <v>408</v>
      </c>
      <c r="G153" s="77" t="s">
        <v>10</v>
      </c>
      <c r="H153" s="78">
        <v>660</v>
      </c>
      <c r="I153" s="79"/>
      <c r="J153" s="79">
        <v>3742.2</v>
      </c>
      <c r="K153" s="79"/>
      <c r="L153" s="99" t="s">
        <v>409</v>
      </c>
      <c r="M153" s="77"/>
    </row>
    <row r="154" spans="1:13" ht="15" customHeight="1" x14ac:dyDescent="0.25">
      <c r="A154" s="75" t="s">
        <v>169</v>
      </c>
      <c r="B154" s="77"/>
      <c r="C154" s="76">
        <v>46038</v>
      </c>
      <c r="D154" s="77"/>
      <c r="E154" s="77" t="s">
        <v>15</v>
      </c>
      <c r="F154" s="98" t="s">
        <v>408</v>
      </c>
      <c r="G154" s="77" t="s">
        <v>10</v>
      </c>
      <c r="H154" s="78">
        <v>536.64200000000005</v>
      </c>
      <c r="I154" s="79"/>
      <c r="J154" s="79">
        <v>3214.48</v>
      </c>
      <c r="K154" s="79"/>
      <c r="L154" s="99" t="s">
        <v>409</v>
      </c>
      <c r="M154" s="77"/>
    </row>
    <row r="155" spans="1:13" ht="15" customHeight="1" x14ac:dyDescent="0.25">
      <c r="A155" s="75" t="s">
        <v>169</v>
      </c>
      <c r="B155" s="77"/>
      <c r="C155" s="76">
        <v>46037</v>
      </c>
      <c r="D155" s="77"/>
      <c r="E155" s="77" t="s">
        <v>18</v>
      </c>
      <c r="F155" s="98" t="s">
        <v>408</v>
      </c>
      <c r="G155" s="77" t="s">
        <v>6</v>
      </c>
      <c r="H155" s="78">
        <v>41.2</v>
      </c>
      <c r="I155" s="79"/>
      <c r="J155" s="79">
        <v>147.91</v>
      </c>
      <c r="K155" s="79"/>
      <c r="L155" s="99" t="s">
        <v>409</v>
      </c>
      <c r="M155" s="77"/>
    </row>
    <row r="156" spans="1:13" ht="15" customHeight="1" x14ac:dyDescent="0.25">
      <c r="A156" s="75" t="s">
        <v>169</v>
      </c>
      <c r="B156" s="77"/>
      <c r="C156" s="76">
        <v>46037</v>
      </c>
      <c r="D156" s="77"/>
      <c r="E156" s="77" t="s">
        <v>18</v>
      </c>
      <c r="F156" s="98" t="s">
        <v>408</v>
      </c>
      <c r="G156" s="77" t="s">
        <v>10</v>
      </c>
      <c r="H156" s="78">
        <v>694.72</v>
      </c>
      <c r="I156" s="79"/>
      <c r="J156" s="79">
        <v>4036.32</v>
      </c>
      <c r="K156" s="79"/>
      <c r="L156" s="99" t="s">
        <v>409</v>
      </c>
      <c r="M156" s="77"/>
    </row>
    <row r="157" spans="1:13" ht="15" customHeight="1" x14ac:dyDescent="0.25">
      <c r="A157" s="75" t="s">
        <v>169</v>
      </c>
      <c r="B157" s="77"/>
      <c r="C157" s="76">
        <v>46037</v>
      </c>
      <c r="D157" s="77"/>
      <c r="E157" s="77" t="s">
        <v>18</v>
      </c>
      <c r="F157" s="98" t="s">
        <v>408</v>
      </c>
      <c r="G157" s="77" t="s">
        <v>10</v>
      </c>
      <c r="H157" s="78">
        <v>494.01</v>
      </c>
      <c r="I157" s="79"/>
      <c r="J157" s="79">
        <v>2870.2</v>
      </c>
      <c r="K157" s="79"/>
      <c r="L157" s="99" t="s">
        <v>409</v>
      </c>
      <c r="M157" s="77"/>
    </row>
    <row r="158" spans="1:13" ht="15" customHeight="1" x14ac:dyDescent="0.25">
      <c r="A158" s="75" t="s">
        <v>169</v>
      </c>
      <c r="B158" s="77"/>
      <c r="C158" s="76">
        <v>46036</v>
      </c>
      <c r="D158" s="77"/>
      <c r="E158" s="77" t="s">
        <v>15</v>
      </c>
      <c r="F158" s="98" t="s">
        <v>408</v>
      </c>
      <c r="G158" s="77" t="s">
        <v>10</v>
      </c>
      <c r="H158" s="78">
        <v>313.89999999999998</v>
      </c>
      <c r="I158" s="79"/>
      <c r="J158" s="79">
        <v>1880.26</v>
      </c>
      <c r="K158" s="79"/>
      <c r="L158" s="99" t="s">
        <v>409</v>
      </c>
      <c r="M158" s="77"/>
    </row>
    <row r="159" spans="1:13" ht="15" customHeight="1" x14ac:dyDescent="0.25">
      <c r="A159" s="75" t="s">
        <v>169</v>
      </c>
      <c r="B159" s="77"/>
      <c r="C159" s="76">
        <v>46036</v>
      </c>
      <c r="D159" s="77"/>
      <c r="E159" s="77" t="s">
        <v>15</v>
      </c>
      <c r="F159" s="98" t="s">
        <v>408</v>
      </c>
      <c r="G159" s="77" t="s">
        <v>11</v>
      </c>
      <c r="H159" s="78">
        <v>404.161</v>
      </c>
      <c r="I159" s="79"/>
      <c r="J159" s="79">
        <v>2380.5</v>
      </c>
      <c r="K159" s="79"/>
      <c r="L159" s="99" t="s">
        <v>409</v>
      </c>
      <c r="M159" s="77"/>
    </row>
    <row r="160" spans="1:13" ht="15" customHeight="1" x14ac:dyDescent="0.25">
      <c r="A160" s="75" t="s">
        <v>169</v>
      </c>
      <c r="B160" s="77"/>
      <c r="C160" s="76">
        <v>46036</v>
      </c>
      <c r="D160" s="77"/>
      <c r="E160" s="77" t="s">
        <v>15</v>
      </c>
      <c r="F160" s="98" t="s">
        <v>408</v>
      </c>
      <c r="G160" s="77" t="s">
        <v>10</v>
      </c>
      <c r="H160" s="78">
        <v>62.170999999999999</v>
      </c>
      <c r="I160" s="79"/>
      <c r="J160" s="79">
        <v>372.4</v>
      </c>
      <c r="K160" s="79"/>
      <c r="L160" s="99" t="s">
        <v>409</v>
      </c>
      <c r="M160" s="77"/>
    </row>
    <row r="161" spans="1:13" ht="15" customHeight="1" x14ac:dyDescent="0.25">
      <c r="A161" s="75" t="s">
        <v>169</v>
      </c>
      <c r="B161" s="77"/>
      <c r="C161" s="76">
        <v>46036</v>
      </c>
      <c r="D161" s="77"/>
      <c r="E161" s="77" t="s">
        <v>15</v>
      </c>
      <c r="F161" s="98" t="s">
        <v>408</v>
      </c>
      <c r="G161" s="77" t="s">
        <v>12</v>
      </c>
      <c r="H161" s="78">
        <v>39.630000000000003</v>
      </c>
      <c r="I161" s="79"/>
      <c r="J161" s="79">
        <v>273.05</v>
      </c>
      <c r="K161" s="79"/>
      <c r="L161" s="99" t="s">
        <v>409</v>
      </c>
      <c r="M161" s="77"/>
    </row>
    <row r="162" spans="1:13" ht="15" customHeight="1" x14ac:dyDescent="0.25">
      <c r="A162" s="75" t="s">
        <v>169</v>
      </c>
      <c r="B162" s="77"/>
      <c r="C162" s="76">
        <v>46035</v>
      </c>
      <c r="D162" s="77"/>
      <c r="E162" s="77" t="s">
        <v>15</v>
      </c>
      <c r="F162" s="98" t="s">
        <v>408</v>
      </c>
      <c r="G162" s="77" t="s">
        <v>11</v>
      </c>
      <c r="H162" s="78">
        <v>31.260999999999999</v>
      </c>
      <c r="I162" s="79"/>
      <c r="J162" s="79">
        <v>184.12</v>
      </c>
      <c r="K162" s="79"/>
      <c r="L162" s="99" t="s">
        <v>409</v>
      </c>
      <c r="M162" s="77"/>
    </row>
    <row r="163" spans="1:13" ht="15" customHeight="1" x14ac:dyDescent="0.25">
      <c r="A163" s="75" t="s">
        <v>169</v>
      </c>
      <c r="B163" s="77"/>
      <c r="C163" s="76">
        <v>46035</v>
      </c>
      <c r="D163" s="77"/>
      <c r="E163" s="77" t="s">
        <v>15</v>
      </c>
      <c r="F163" s="98" t="s">
        <v>408</v>
      </c>
      <c r="G163" s="77" t="s">
        <v>12</v>
      </c>
      <c r="H163" s="78">
        <v>25</v>
      </c>
      <c r="I163" s="79"/>
      <c r="J163" s="79">
        <v>172.25</v>
      </c>
      <c r="K163" s="79"/>
      <c r="L163" s="99" t="s">
        <v>409</v>
      </c>
      <c r="M163" s="77"/>
    </row>
    <row r="164" spans="1:13" ht="15" customHeight="1" x14ac:dyDescent="0.25">
      <c r="A164" s="75" t="s">
        <v>169</v>
      </c>
      <c r="B164" s="77"/>
      <c r="C164" s="76">
        <v>46035</v>
      </c>
      <c r="D164" s="77"/>
      <c r="E164" s="77" t="s">
        <v>15</v>
      </c>
      <c r="F164" s="98" t="s">
        <v>408</v>
      </c>
      <c r="G164" s="77" t="s">
        <v>11</v>
      </c>
      <c r="H164" s="78">
        <v>194.05099999999999</v>
      </c>
      <c r="I164" s="79"/>
      <c r="J164" s="79">
        <v>1142.96</v>
      </c>
      <c r="K164" s="79"/>
      <c r="L164" s="99" t="s">
        <v>409</v>
      </c>
      <c r="M164" s="77"/>
    </row>
    <row r="165" spans="1:13" ht="15" customHeight="1" x14ac:dyDescent="0.25">
      <c r="A165" s="75" t="s">
        <v>169</v>
      </c>
      <c r="B165" s="77"/>
      <c r="C165" s="76">
        <v>46034</v>
      </c>
      <c r="D165" s="77"/>
      <c r="E165" s="77" t="s">
        <v>15</v>
      </c>
      <c r="F165" s="98" t="s">
        <v>408</v>
      </c>
      <c r="G165" s="77" t="s">
        <v>11</v>
      </c>
      <c r="H165" s="78">
        <v>422.9</v>
      </c>
      <c r="I165" s="79"/>
      <c r="J165" s="79">
        <v>2490.88</v>
      </c>
      <c r="K165" s="79"/>
      <c r="L165" s="99" t="s">
        <v>409</v>
      </c>
      <c r="M165" s="77"/>
    </row>
    <row r="166" spans="1:13" ht="15" customHeight="1" x14ac:dyDescent="0.25">
      <c r="A166" s="75" t="s">
        <v>169</v>
      </c>
      <c r="B166" s="77"/>
      <c r="C166" s="76">
        <v>46034</v>
      </c>
      <c r="D166" s="77"/>
      <c r="E166" s="77" t="s">
        <v>15</v>
      </c>
      <c r="F166" s="98" t="s">
        <v>408</v>
      </c>
      <c r="G166" s="77" t="s">
        <v>12</v>
      </c>
      <c r="H166" s="78">
        <v>45.63</v>
      </c>
      <c r="I166" s="79"/>
      <c r="J166" s="79">
        <v>314.39</v>
      </c>
      <c r="K166" s="79"/>
      <c r="L166" s="99" t="s">
        <v>409</v>
      </c>
      <c r="M166" s="77"/>
    </row>
    <row r="167" spans="1:13" ht="15" customHeight="1" x14ac:dyDescent="0.25">
      <c r="A167" s="75" t="s">
        <v>169</v>
      </c>
      <c r="B167" s="77"/>
      <c r="C167" s="76">
        <v>46034</v>
      </c>
      <c r="D167" s="77"/>
      <c r="E167" s="77" t="s">
        <v>15</v>
      </c>
      <c r="F167" s="98" t="s">
        <v>408</v>
      </c>
      <c r="G167" s="77" t="s">
        <v>10</v>
      </c>
      <c r="H167" s="78">
        <v>248.38</v>
      </c>
      <c r="I167" s="79"/>
      <c r="J167" s="79">
        <v>1487.79</v>
      </c>
      <c r="K167" s="79"/>
      <c r="L167" s="99" t="s">
        <v>409</v>
      </c>
      <c r="M167" s="77"/>
    </row>
    <row r="168" spans="1:13" ht="15" customHeight="1" x14ac:dyDescent="0.25">
      <c r="A168" s="75" t="s">
        <v>169</v>
      </c>
      <c r="B168" s="77"/>
      <c r="C168" s="76">
        <v>46034</v>
      </c>
      <c r="D168" s="77"/>
      <c r="E168" s="77" t="s">
        <v>15</v>
      </c>
      <c r="F168" s="98" t="s">
        <v>408</v>
      </c>
      <c r="G168" s="77" t="s">
        <v>12</v>
      </c>
      <c r="H168" s="78">
        <v>36.81</v>
      </c>
      <c r="I168" s="79"/>
      <c r="J168" s="79">
        <v>253.62</v>
      </c>
      <c r="K168" s="79"/>
      <c r="L168" s="99" t="s">
        <v>409</v>
      </c>
      <c r="M168" s="77"/>
    </row>
    <row r="169" spans="1:13" ht="15" customHeight="1" x14ac:dyDescent="0.25">
      <c r="A169" s="75" t="s">
        <v>169</v>
      </c>
      <c r="B169" s="77"/>
      <c r="C169" s="76">
        <v>46031</v>
      </c>
      <c r="D169" s="77"/>
      <c r="E169" s="77" t="s">
        <v>15</v>
      </c>
      <c r="F169" s="98" t="s">
        <v>408</v>
      </c>
      <c r="G169" s="77" t="s">
        <v>11</v>
      </c>
      <c r="H169" s="78">
        <v>472.56</v>
      </c>
      <c r="I169" s="79"/>
      <c r="J169" s="79">
        <v>2783.37</v>
      </c>
      <c r="K169" s="79"/>
      <c r="L169" s="99" t="s">
        <v>409</v>
      </c>
      <c r="M169" s="77"/>
    </row>
    <row r="170" spans="1:13" ht="15" customHeight="1" x14ac:dyDescent="0.25">
      <c r="A170" s="75" t="s">
        <v>169</v>
      </c>
      <c r="B170" s="77"/>
      <c r="C170" s="76">
        <v>46031</v>
      </c>
      <c r="D170" s="77"/>
      <c r="E170" s="77" t="s">
        <v>15</v>
      </c>
      <c r="F170" s="98" t="s">
        <v>408</v>
      </c>
      <c r="G170" s="77" t="s">
        <v>11</v>
      </c>
      <c r="H170" s="78">
        <v>362.18099999999998</v>
      </c>
      <c r="I170" s="79"/>
      <c r="J170" s="79">
        <v>2133.2399999999998</v>
      </c>
      <c r="K170" s="79"/>
      <c r="L170" s="99" t="s">
        <v>409</v>
      </c>
      <c r="M170" s="77"/>
    </row>
    <row r="171" spans="1:13" ht="15" customHeight="1" x14ac:dyDescent="0.25">
      <c r="A171" s="75" t="s">
        <v>169</v>
      </c>
      <c r="B171" s="77"/>
      <c r="C171" s="76">
        <v>46031</v>
      </c>
      <c r="D171" s="77"/>
      <c r="E171" s="77" t="s">
        <v>18</v>
      </c>
      <c r="F171" s="98" t="s">
        <v>408</v>
      </c>
      <c r="G171" s="77" t="s">
        <v>10</v>
      </c>
      <c r="H171" s="78">
        <v>685</v>
      </c>
      <c r="I171" s="79"/>
      <c r="J171" s="79">
        <v>4014.1</v>
      </c>
      <c r="K171" s="79"/>
      <c r="L171" s="99" t="s">
        <v>409</v>
      </c>
      <c r="M171" s="77"/>
    </row>
    <row r="172" spans="1:13" ht="15" customHeight="1" x14ac:dyDescent="0.25">
      <c r="A172" s="75" t="s">
        <v>169</v>
      </c>
      <c r="B172" s="77"/>
      <c r="C172" s="76">
        <v>46031</v>
      </c>
      <c r="D172" s="77"/>
      <c r="E172" s="77" t="s">
        <v>18</v>
      </c>
      <c r="F172" s="98" t="s">
        <v>408</v>
      </c>
      <c r="G172" s="77" t="s">
        <v>10</v>
      </c>
      <c r="H172" s="78">
        <v>258.20999999999998</v>
      </c>
      <c r="I172" s="79"/>
      <c r="J172" s="79">
        <v>1513.11</v>
      </c>
      <c r="K172" s="79"/>
      <c r="L172" s="99" t="s">
        <v>409</v>
      </c>
      <c r="M172" s="77"/>
    </row>
    <row r="173" spans="1:13" ht="15" customHeight="1" x14ac:dyDescent="0.25">
      <c r="A173" s="75" t="s">
        <v>169</v>
      </c>
      <c r="B173" s="77"/>
      <c r="C173" s="76">
        <v>46031</v>
      </c>
      <c r="D173" s="77"/>
      <c r="E173" s="77" t="s">
        <v>15</v>
      </c>
      <c r="F173" s="98" t="s">
        <v>408</v>
      </c>
      <c r="G173" s="77" t="s">
        <v>12</v>
      </c>
      <c r="H173" s="78">
        <v>38.350999999999999</v>
      </c>
      <c r="I173" s="79"/>
      <c r="J173" s="79">
        <v>264.23</v>
      </c>
      <c r="K173" s="79"/>
      <c r="L173" s="99" t="s">
        <v>409</v>
      </c>
      <c r="M173" s="77"/>
    </row>
    <row r="174" spans="1:13" ht="15" customHeight="1" x14ac:dyDescent="0.25">
      <c r="A174" s="75" t="s">
        <v>169</v>
      </c>
      <c r="B174" s="77"/>
      <c r="C174" s="76">
        <v>46029</v>
      </c>
      <c r="D174" s="77"/>
      <c r="E174" s="77" t="s">
        <v>15</v>
      </c>
      <c r="F174" s="98" t="s">
        <v>408</v>
      </c>
      <c r="G174" s="77" t="s">
        <v>10</v>
      </c>
      <c r="H174" s="78">
        <v>327.56</v>
      </c>
      <c r="I174" s="79"/>
      <c r="J174" s="79">
        <v>1962.08</v>
      </c>
      <c r="K174" s="79"/>
      <c r="L174" s="99" t="s">
        <v>409</v>
      </c>
      <c r="M174" s="77"/>
    </row>
    <row r="175" spans="1:13" ht="15" customHeight="1" x14ac:dyDescent="0.25">
      <c r="A175" s="75" t="s">
        <v>169</v>
      </c>
      <c r="B175" s="77"/>
      <c r="C175" s="76">
        <v>46029</v>
      </c>
      <c r="D175" s="77"/>
      <c r="E175" s="77" t="s">
        <v>15</v>
      </c>
      <c r="F175" s="98" t="s">
        <v>408</v>
      </c>
      <c r="G175" s="77" t="s">
        <v>10</v>
      </c>
      <c r="H175" s="78">
        <v>359.23</v>
      </c>
      <c r="I175" s="79"/>
      <c r="J175" s="79">
        <v>2151.7800000000002</v>
      </c>
      <c r="K175" s="79"/>
      <c r="L175" s="99" t="s">
        <v>409</v>
      </c>
      <c r="M175" s="77"/>
    </row>
    <row r="176" spans="1:13" ht="15" customHeight="1" x14ac:dyDescent="0.25">
      <c r="A176" s="75" t="s">
        <v>169</v>
      </c>
      <c r="B176" s="77"/>
      <c r="C176" s="76">
        <v>46029</v>
      </c>
      <c r="D176" s="77"/>
      <c r="E176" s="77" t="s">
        <v>15</v>
      </c>
      <c r="F176" s="98" t="s">
        <v>408</v>
      </c>
      <c r="G176" s="77" t="s">
        <v>11</v>
      </c>
      <c r="H176" s="78">
        <v>390.95</v>
      </c>
      <c r="I176" s="79"/>
      <c r="J176" s="79">
        <v>2302.69</v>
      </c>
      <c r="K176" s="79"/>
      <c r="L176" s="99" t="s">
        <v>409</v>
      </c>
      <c r="M176" s="77"/>
    </row>
    <row r="177" spans="1:13" ht="15" customHeight="1" x14ac:dyDescent="0.25">
      <c r="A177" s="75" t="s">
        <v>169</v>
      </c>
      <c r="B177" s="77"/>
      <c r="C177" s="76">
        <v>46029</v>
      </c>
      <c r="D177" s="77"/>
      <c r="E177" s="77" t="s">
        <v>15</v>
      </c>
      <c r="F177" s="98" t="s">
        <v>408</v>
      </c>
      <c r="G177" s="77" t="s">
        <v>12</v>
      </c>
      <c r="H177" s="78">
        <v>50.59</v>
      </c>
      <c r="I177" s="79"/>
      <c r="J177" s="79">
        <v>348.56</v>
      </c>
      <c r="K177" s="79"/>
      <c r="L177" s="99" t="s">
        <v>409</v>
      </c>
      <c r="M177" s="77"/>
    </row>
    <row r="178" spans="1:13" ht="15" customHeight="1" x14ac:dyDescent="0.25">
      <c r="A178" s="75" t="s">
        <v>169</v>
      </c>
      <c r="B178" s="77"/>
      <c r="C178" s="76">
        <v>46029</v>
      </c>
      <c r="D178" s="77"/>
      <c r="E178" s="77" t="s">
        <v>15</v>
      </c>
      <c r="F178" s="98" t="s">
        <v>408</v>
      </c>
      <c r="G178" s="77" t="s">
        <v>12</v>
      </c>
      <c r="H178" s="78">
        <v>39.51</v>
      </c>
      <c r="I178" s="79"/>
      <c r="J178" s="79">
        <v>272.22000000000003</v>
      </c>
      <c r="K178" s="79"/>
      <c r="L178" s="99" t="s">
        <v>409</v>
      </c>
      <c r="M178" s="77"/>
    </row>
    <row r="179" spans="1:13" ht="15" customHeight="1" x14ac:dyDescent="0.25">
      <c r="A179" s="75" t="s">
        <v>169</v>
      </c>
      <c r="B179" s="77"/>
      <c r="C179" s="76">
        <v>46028</v>
      </c>
      <c r="D179" s="77"/>
      <c r="E179" s="77" t="s">
        <v>15</v>
      </c>
      <c r="F179" s="98" t="s">
        <v>408</v>
      </c>
      <c r="G179" s="77" t="s">
        <v>12</v>
      </c>
      <c r="H179" s="78">
        <v>50.970999999999997</v>
      </c>
      <c r="I179" s="79"/>
      <c r="J179" s="79">
        <v>340.99</v>
      </c>
      <c r="K179" s="79"/>
      <c r="L179" s="99" t="s">
        <v>409</v>
      </c>
      <c r="M179" s="77"/>
    </row>
    <row r="180" spans="1:13" ht="15" customHeight="1" x14ac:dyDescent="0.25">
      <c r="A180" s="75" t="s">
        <v>169</v>
      </c>
      <c r="B180" s="77"/>
      <c r="C180" s="76">
        <v>46027</v>
      </c>
      <c r="D180" s="77"/>
      <c r="E180" s="77" t="s">
        <v>15</v>
      </c>
      <c r="F180" s="98" t="s">
        <v>408</v>
      </c>
      <c r="G180" s="77" t="s">
        <v>11</v>
      </c>
      <c r="H180" s="78">
        <v>334.08100000000002</v>
      </c>
      <c r="I180" s="79"/>
      <c r="J180" s="79">
        <v>1967.73</v>
      </c>
      <c r="K180" s="79"/>
      <c r="L180" s="99" t="s">
        <v>409</v>
      </c>
      <c r="M180" s="77"/>
    </row>
  </sheetData>
  <mergeCells count="3">
    <mergeCell ref="A1:M1"/>
    <mergeCell ref="A2:M2"/>
    <mergeCell ref="A3:M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KPI</vt:lpstr>
      <vt:lpstr>Relatório Completo</vt:lpstr>
      <vt:lpstr>Divergências</vt:lpstr>
      <vt:lpstr>NOMENCLATURA DOS POSTOS</vt:lpstr>
      <vt:lpstr>Conciliados</vt:lpstr>
      <vt:lpstr>SAP Sem conciliação</vt:lpstr>
      <vt:lpstr>TMS Sem conciliação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Isabelli Cristina Pereira da Silva</cp:lastModifiedBy>
  <cp:revision>3</cp:revision>
  <dcterms:created xsi:type="dcterms:W3CDTF">2026-03-12T20:54:12Z</dcterms:created>
  <dcterms:modified xsi:type="dcterms:W3CDTF">2026-04-21T01:46:21Z</dcterms:modified>
  <dc:language>en-US</dc:language>
</cp:coreProperties>
</file>